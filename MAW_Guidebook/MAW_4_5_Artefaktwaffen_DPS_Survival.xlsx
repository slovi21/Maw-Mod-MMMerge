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a99649f54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st Of DPS" sheetId="1" r:id="R188899cd79784939"/>
    <x:sheet xmlns:r="http://schemas.openxmlformats.org/officeDocument/2006/relationships" name="Best of Survival - Def" sheetId="2" r:id="R0b13c09feee6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-#,##0;–"/>
    <x:numFmt numFmtId="201" formatCode="#,##0.0;[Red]-#,##0.0;–"/>
    <x:numFmt numFmtId="202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D7EAF0"/>
      <x:name val="Carlito"/>
    </x:font>
    <x:font>
      <x:b/>
      <x:sz val="11"/>
      <x:color rgb="FF9A5514"/>
      <x:name val="Carlito"/>
    </x:font>
    <x:font>
      <x:sz val="10"/>
      <x:name val="Carlito"/>
    </x:font>
    <x:font>
      <x:b/>
      <x:sz val="10"/>
      <x:color rgb="FF166648"/>
      <x:name val="Carlito"/>
    </x:font>
    <x:font>
      <x:sz val="10"/>
      <x:color rgb="FF526477"/>
      <x:name val="Carlito"/>
    </x:font>
    <x:font>
      <x:b/>
      <x:sz val="11"/>
      <x:color rgb="FF142337"/>
      <x:name val="Carlito"/>
    </x:font>
    <x:font>
      <x:i/>
      <x:sz val="10"/>
      <x:color rgb="FF526477"/>
      <x:name val="Carlito"/>
    </x:font>
    <x:font>
      <x:b/>
      <x:sz val="10"/>
      <x:color rgb="FFFFFFFF"/>
      <x:name val="Carlito"/>
    </x:font>
    <x:font>
      <x:b/>
      <x:sz val="11"/>
      <x:color rgb="FF0A547D"/>
      <x:name val="Carlito"/>
    </x:font>
    <x:font>
      <x:b/>
      <x:sz val="11"/>
      <x:color rgb="FF147D5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337"/>
      </x:patternFill>
    </x:fill>
    <x:fill>
      <x:patternFill patternType="solid">
        <x:fgColor rgb="FF1B3450"/>
      </x:patternFill>
    </x:fill>
    <x:fill>
      <x:patternFill patternType="solid">
        <x:fgColor rgb="FFFFF4D9"/>
      </x:patternFill>
    </x:fill>
    <x:fill>
      <x:patternFill patternType="solid">
        <x:fgColor rgb="FFDDF2EC"/>
      </x:patternFill>
    </x:fill>
    <x:fill>
      <x:patternFill patternType="solid">
        <x:fgColor rgb="FFEAF5F8"/>
      </x:patternFill>
    </x:fill>
    <x:fill>
      <x:patternFill patternType="solid">
        <x:fgColor rgb="FFF0F6F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739b9fc8d41a7" /><Relationship Type="http://schemas.openxmlformats.org/officeDocument/2006/relationships/theme" Target="/xl/theme/theme1.xml" Id="Rfaed18c737354d79" /><Relationship Type="http://schemas.openxmlformats.org/officeDocument/2006/relationships/sharedStrings" Target="/xl/sharedStrings.xml" Id="Rfa6351d73e1c4ea8" /><Relationship Type="http://schemas.openxmlformats.org/officeDocument/2006/relationships/worksheet" Target="/xl/worksheets/sheet1.xml" Id="R188899cd79784939" /><Relationship Type="http://schemas.openxmlformats.org/officeDocument/2006/relationships/worksheet" Target="/xl/worksheets/sheet2.xml" Id="R0b13c09feee647d3" /></Relationships>
</file>

<file path=xl/tables/table1.xml><?xml version="1.0" encoding="utf-8"?>
<x:table xmlns:x="http://schemas.openxmlformats.org/spreadsheetml/2006/main" id="1" name="MAWDPS" displayName="MAWDPS" ref="A11:AJ62" headerRowCount="1" totalsRowCount="0" totalsRowShown="0">
  <x:tableColumns count="36">
    <x:tableColumn id="1" name="Rang"/>
    <x:tableColumn id="2" name="Waffe / Artefakt"/>
    <x:tableColumn id="3" name="Kategorie"/>
    <x:tableColumn id="4" name="Welt"/>
    <x:tableColumn id="5" name="DPS phys. (Modell)"/>
    <x:tableColumn id="6" name="Vitality (Modell)"/>
    <x:tableColumn id="7" name="Δ Vitality"/>
    <x:tableColumn id="8" name="Lifeleech"/>
    <x:tableColumn id="9" name="Defensiveffekte (erklärt)"/>
    <x:tableColumn id="10" name="Spezialeffekte – Erklärung"/>
    <x:tableColumn id="11" name="Tragbarkeit"/>
    <x:tableColumn id="12" name="Nicht im DPS enthalten"/>
    <x:tableColumn id="13" name="Quelle / Prüfung"/>
    <x:tableColumn id="14" name="Endurance Δ"/>
    <x:tableColumn id="15" name="Armor Class Δ"/>
    <x:tableColumn id="16" name="Feuer-Res Δ"/>
    <x:tableColumn id="17" name="Luft-Res Δ"/>
    <x:tableColumn id="18" name="Wasser-Res Δ"/>
    <x:tableColumn id="19" name="Erde-Res Δ"/>
    <x:tableColumn id="20" name="Mind-Res Δ"/>
    <x:tableColumn id="21" name="Body-Res Δ"/>
    <x:tableColumn id="22" name="Spirit-Res Δ"/>
    <x:tableColumn id="23" name="HP direkt Δ"/>
    <x:tableColumn id="24" name="DPS-Modellbasis"/>
    <x:tableColumn id="25" name="Korrekturfaktor (=1)"/>
    <x:tableColumn id="26" name="HP-Regeneration"/>
    <x:tableColumn id="27" name="Feuer-Schutz"/>
    <x:tableColumn id="28" name="Luft-Schutz"/>
    <x:tableColumn id="29" name="Wasser-Schutz"/>
    <x:tableColumn id="30" name="Erde-Schutz"/>
    <x:tableColumn id="31" name="Mind-Schutz"/>
    <x:tableColumn id="32" name="Body-Schutz"/>
    <x:tableColumn id="33" name="Spirit-Schutz"/>
    <x:tableColumn id="34" name="Phys. Schutz"/>
    <x:tableColumn id="35" name="Datenherkunft / Hinweise"/>
    <x:tableColumn id="36" name="Originalschad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WSurvival" displayName="MAWSurvival" ref="A11:AJ62" headerRowCount="1" totalsRowCount="0" totalsRowShown="0">
  <x:tableColumns count="36">
    <x:tableColumn id="1" name="Rang"/>
    <x:tableColumn id="2" name="Waffe / Artefakt"/>
    <x:tableColumn id="3" name="Kategorie"/>
    <x:tableColumn id="4" name="Welt"/>
    <x:tableColumn id="5" name="DPS phys. (Modell)"/>
    <x:tableColumn id="6" name="Vitality (Modell)"/>
    <x:tableColumn id="7" name="Δ Vitality"/>
    <x:tableColumn id="8" name="Lifeleech"/>
    <x:tableColumn id="9" name="Defensiveffekte (erklärt)"/>
    <x:tableColumn id="10" name="Spezialeffekte – Erklärung"/>
    <x:tableColumn id="11" name="Tragbarkeit"/>
    <x:tableColumn id="12" name="Nicht im DPS enthalten"/>
    <x:tableColumn id="13" name="Quelle / Prüfung"/>
    <x:tableColumn id="14" name="Endurance Δ"/>
    <x:tableColumn id="15" name="Armor Class Δ"/>
    <x:tableColumn id="16" name="Feuer-Res Δ"/>
    <x:tableColumn id="17" name="Luft-Res Δ"/>
    <x:tableColumn id="18" name="Wasser-Res Δ"/>
    <x:tableColumn id="19" name="Erde-Res Δ"/>
    <x:tableColumn id="20" name="Mind-Res Δ"/>
    <x:tableColumn id="21" name="Body-Res Δ"/>
    <x:tableColumn id="22" name="Spirit-Res Δ"/>
    <x:tableColumn id="23" name="HP direkt Δ"/>
    <x:tableColumn id="24" name="DPS-Modellbasis"/>
    <x:tableColumn id="25" name="Korrekturfaktor (=1)"/>
    <x:tableColumn id="26" name="HP-Regeneration"/>
    <x:tableColumn id="27" name="Feuer-Schutz"/>
    <x:tableColumn id="28" name="Luft-Schutz"/>
    <x:tableColumn id="29" name="Wasser-Schutz"/>
    <x:tableColumn id="30" name="Erde-Schutz"/>
    <x:tableColumn id="31" name="Mind-Schutz"/>
    <x:tableColumn id="32" name="Body-Schutz"/>
    <x:tableColumn id="33" name="Spirit-Schutz"/>
    <x:tableColumn id="34" name="Phys. Schutz"/>
    <x:tableColumn id="35" name="Datenherkunft / Hinweise"/>
    <x:tableColumn id="36" name="Originalscha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6e54bb5efc40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0100de0bbb4d01" /></Relationships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10" hidden="0" customWidth="1"/>
    <x:col min="5" max="5" width="17" hidden="0" customWidth="1"/>
    <x:col min="6" max="6" width="19" hidden="0" customWidth="1"/>
    <x:col min="7" max="7" width="14" hidden="0" customWidth="1"/>
    <x:col min="8" max="8" width="21" hidden="0" customWidth="1"/>
    <x:col min="9" max="9" width="55" hidden="0" customWidth="1"/>
    <x:col min="10" max="10" width="85" hidden="0" customWidth="1"/>
    <x:col min="11" max="11" width="25" hidden="0" customWidth="1"/>
    <x:col min="12" max="12" width="60" hidden="0" customWidth="1"/>
    <x:col min="13" max="13" width="44" hidden="0" customWidth="1"/>
    <x:col min="14" max="14" width="14" hidden="0" customWidth="1"/>
    <x:col min="15" max="15" width="14" hidden="0" customWidth="1"/>
    <x:col min="16" max="16" width="13" hidden="0" customWidth="1"/>
    <x:col min="17" max="17" width="13" hidden="0" customWidth="1"/>
    <x:col min="18" max="18" width="14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2" hidden="0" customWidth="1"/>
    <x:col min="24" max="24" width="17" hidden="0" customWidth="1"/>
    <x:col min="25" max="25" width="18" hidden="0" customWidth="1"/>
    <x:col min="26" max="26" width="18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32" hidden="0" customWidth="1"/>
    <x:col min="36" max="36" width="18" hidden="0" customWidth="1"/>
  </x:cols>
  <x:sheetData>
    <x:row r="1" ht="37" customHeight="1">
      <x:c r="A1" s="4" t="str">
        <x:v>MAW 4.5  |  BEST OF DPS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51 Artefakt-/Reliktwaffen · MM6/7/8 Merge · 2H/1H, Speere, Maces, Staffs, Dolche, Bögen und Armbrust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3" customHeight="1">
      <x:c r="A3" s="13" t="str">
        <x:v>VITALITY: wie im MAW-Stats-Menü strukturiert, aber auf eine Modellfigur bezogen. Kein echter Ingame-Vitalitywert.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5" ht="22" customHeight="1">
      <x:c r="A5" s="16" t="str">
        <x:v>Basis-HP</x:v>
      </x:c>
      <x:c r="B5" s="19" t="n">
        <x:v>2000</x:v>
      </x:c>
      <x:c r="C5" s="16" t="str">
        <x:v>Basis-AC</x:v>
      </x:c>
      <x:c r="D5" s="19" t="n">
        <x:v>100</x:v>
      </x:c>
      <x:c r="E5" s="16" t="str">
        <x:v>Basis-Res. (alle)</x:v>
      </x:c>
      <x:c r="F5" s="19" t="n">
        <x:v>50</x:v>
      </x:c>
      <x:c r="G5" s="16" t="str">
        <x:v>HP je Endurance*</x:v>
      </x:c>
      <x:c r="H5" s="19" t="n">
        <x:v>5</x:v>
      </x:c>
      <x:c r="I5" s="16" t="str">
        <x:v>Level</x:v>
      </x:c>
      <x:c r="J5" s="19" t="n">
        <x:v>100</x:v>
      </x:c>
    </x:row>
    <x:row r="6" ht="22" customHeight="1">
      <x:c r="A6" s="16" t="str">
        <x:v>Waffen-Skill</x:v>
      </x:c>
      <x:c r="B6" s="16" t="n">
        <x:v>20</x:v>
      </x:c>
      <x:c r="C6" s="16" t="str">
        <x:v>Armsmaster</x:v>
      </x:c>
      <x:c r="D6" s="16" t="n">
        <x:v>20</x:v>
      </x:c>
      <x:c r="E6" s="16" t="str">
        <x:v>Basis-Might</x:v>
      </x:c>
      <x:c r="F6" s="16" t="n">
        <x:v>100</x:v>
      </x:c>
      <x:c r="G6" s="16" t="str">
        <x:v>Basis-Speed</x:v>
      </x:c>
      <x:c r="H6" s="16" t="n">
        <x:v>100</x:v>
      </x:c>
      <x:c r="I6" s="16" t="str">
        <x:v>Basis-ACC/Luck</x:v>
      </x:c>
      <x:c r="J6" s="16" t="n">
        <x:v>100</x:v>
      </x:c>
    </x:row>
    <x:row r="7" ht="29" customHeight="1">
      <x:c r="A7" s="23" t="str">
        <x:v>* Nur Vitality-Parameter (grün) sind editierbar gedacht. HP/Endurance = 5 ist ein transparenter Szenario-Annahmewert, KEINE bestätigte Spielkonstante. DPS bleibt Benchmark (Lv100 / 20 GM).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 ht="26" customHeight="1">
      <x:c r="A8" s="27" t="str">
        <x:v>Vitality ohne Waffe</x:v>
      </x:c>
      <x:c r="B8" s="27" t="n">
        <x:f>ROUND(B5/(1-((1-((5+J5*2)/(10+J5*2+D5))*(1/(1+D5/(90+J5*0.25))))/2+(1-1/(1+F5/(60+J5*0.5)))*0.5)),0)</x:f>
        <x:v>3842</x:v>
      </x:c>
      <x:c r="C8" s="32" t="str">
        <x:v>Lifeleech, Heil-/Mana-Regeneration, Statusimmunitäten und Zauberboni wirken auf Survival, zählen aber NICHT in die offizielle Vitality-Formel.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 ht="22" customHeight="1">
      <x:c r="A9" s="36" t="str">
        <x:v>Sortierung: physische Modell-DPS. Ein Excel-Filter erlaubt eigenes Sortieren nach Kategorie, Zahlen und Lifeleech.</x:v>
      </x:c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1" ht="34" customHeight="1">
      <x:c r="A11" s="40" t="str">
        <x:v>Rang</x:v>
      </x:c>
      <x:c r="B11" s="40" t="str">
        <x:v>Waffe / Artefakt</x:v>
      </x:c>
      <x:c r="C11" s="40" t="str">
        <x:v>Kategorie</x:v>
      </x:c>
      <x:c r="D11" s="40" t="str">
        <x:v>Welt</x:v>
      </x:c>
      <x:c r="E11" s="40" t="str">
        <x:v>DPS phys. (Modell)</x:v>
      </x:c>
      <x:c r="F11" s="40" t="str">
        <x:v>Vitality (Modell)</x:v>
      </x:c>
      <x:c r="G11" s="40" t="str">
        <x:v>Δ Vitality</x:v>
      </x:c>
      <x:c r="H11" s="40" t="str">
        <x:v>Lifeleech</x:v>
      </x:c>
      <x:c r="I11" s="40" t="str">
        <x:v>Defensiveffekte (erklärt)</x:v>
      </x:c>
      <x:c r="J11" s="40" t="str">
        <x:v>Spezialeffekte – Erklärung</x:v>
      </x:c>
      <x:c r="K11" s="40" t="str">
        <x:v>Tragbarkeit</x:v>
      </x:c>
      <x:c r="L11" s="40" t="str">
        <x:v>Nicht im DPS enthalten</x:v>
      </x:c>
      <x:c r="M11" s="40" t="str">
        <x:v>Quelle / Prüfung</x:v>
      </x:c>
      <x:c r="N11" s="40" t="str">
        <x:v>Endurance Δ</x:v>
      </x:c>
      <x:c r="O11" s="40" t="str">
        <x:v>Armor Class Δ</x:v>
      </x:c>
      <x:c r="P11" s="40" t="str">
        <x:v>Feuer-Res Δ</x:v>
      </x:c>
      <x:c r="Q11" s="40" t="str">
        <x:v>Luft-Res Δ</x:v>
      </x:c>
      <x:c r="R11" s="40" t="str">
        <x:v>Wasser-Res Δ</x:v>
      </x:c>
      <x:c r="S11" s="40" t="str">
        <x:v>Erde-Res Δ</x:v>
      </x:c>
      <x:c r="T11" s="40" t="str">
        <x:v>Mind-Res Δ</x:v>
      </x:c>
      <x:c r="U11" s="40" t="str">
        <x:v>Body-Res Δ</x:v>
      </x:c>
      <x:c r="V11" s="40" t="str">
        <x:v>Spirit-Res Δ</x:v>
      </x:c>
      <x:c r="W11" s="40" t="str">
        <x:v>HP direkt Δ</x:v>
      </x:c>
      <x:c r="X11" s="40" t="str">
        <x:v>DPS-Modellbasis</x:v>
      </x:c>
      <x:c r="Y11" s="40" t="str">
        <x:v>Korrekturfaktor (=1)</x:v>
      </x:c>
      <x:c r="Z11" s="40" t="str">
        <x:v>HP-Regeneration</x:v>
      </x:c>
      <x:c r="AA11" s="40" t="str">
        <x:v>Feuer-Schutz</x:v>
      </x:c>
      <x:c r="AB11" s="40" t="str">
        <x:v>Luft-Schutz</x:v>
      </x:c>
      <x:c r="AC11" s="40" t="str">
        <x:v>Wasser-Schutz</x:v>
      </x:c>
      <x:c r="AD11" s="40" t="str">
        <x:v>Erde-Schutz</x:v>
      </x:c>
      <x:c r="AE11" s="40" t="str">
        <x:v>Mind-Schutz</x:v>
      </x:c>
      <x:c r="AF11" s="40" t="str">
        <x:v>Body-Schutz</x:v>
      </x:c>
      <x:c r="AG11" s="40" t="str">
        <x:v>Spirit-Schutz</x:v>
      </x:c>
      <x:c r="AH11" s="40" t="str">
        <x:v>Phys. Schutz</x:v>
      </x:c>
      <x:c r="AI11" s="40" t="str">
        <x:v>Datenherkunft / Hinweise</x:v>
      </x:c>
      <x:c r="AJ11" s="40" t="str">
        <x:v>Originalschaden</x:v>
      </x:c>
    </x:row>
    <x:row r="12" ht="49" customHeight="1">
      <x:c r="A12" s="44" t="n">
        <x:v>1</x:v>
      </x:c>
      <x:c r="B12" s="44" t="str">
        <x:v>Conan</x:v>
      </x:c>
      <x:c r="C12" s="44" t="str">
        <x:v>2H-Axt</x:v>
      </x:c>
      <x:c r="D12" s="44" t="str">
        <x:v>MM6</x:v>
      </x:c>
      <x:c r="E12" s="50" t="n">
        <x:f>ROUND(X12*Y12,0)</x:f>
        <x:v>1016</x:v>
      </x:c>
      <x:c r="F12" s="51" t="n">
        <x:f>ROUND(($B$5+N12*$H$5+W12)/(1-(AH12/2+(AA12+AB12+AC12+AD12+AE12+AF12)/16+AG12/8)),0)</x:f>
        <x:v>3842</x:v>
      </x:c>
      <x:c r="G12" s="51" t="n">
        <x:f>F12-$B$8</x:f>
        <x:v>0</x:v>
      </x:c>
      <x:c r="H12" s="44" t="str">
        <x:v>Nein</x:v>
      </x:c>
      <x:c r="I12" s="44" t="str">
        <x:v>+150 Accuracy (MAW, auf Level 100: +187,5); verbessert Treffer und Kritschaden.</x:v>
      </x:c>
      <x:c r="J12" s="44" t="str">
        <x:v>Verdoppelt Treffer gegen Drachen und Dämonen; geskripteter zusätzlicher Treffer-Schaden von 10, skaliert mit Level.</x:v>
      </x:c>
      <x:c r="K12" s="44" t="str">
        <x:v>—</x:v>
      </x:c>
      <x:c r="L12" s="44" t="str">
        <x:v>Slayer ×2 und geskripteter Zusatzschaden nicht im phys. DPS enthalten.</x:v>
      </x:c>
      <x:c r="M12" s="44" t="str">
        <x:v>https://github.com/Malekitsu/Maw-Mod-MMMerge/blob/4.5/Scripts/Global/ExtraArtifacts.lua</x:v>
      </x:c>
      <x:c r="N12" s="54" t="n">
        <x:v>0</x:v>
      </x:c>
      <x:c r="O12" s="54" t="n">
        <x:v>0</x:v>
      </x:c>
      <x:c r="P12" s="54" t="n">
        <x:v>0</x:v>
      </x:c>
      <x:c r="Q12" s="54" t="n">
        <x:v>0</x:v>
      </x:c>
      <x:c r="R12" s="54" t="n">
        <x:v>0</x:v>
      </x:c>
      <x:c r="S12" s="54" t="n">
        <x:v>0</x:v>
      </x:c>
      <x:c r="T12" s="54" t="n">
        <x:v>0</x:v>
      </x:c>
      <x:c r="U12" s="54" t="n">
        <x:v>0</x:v>
      </x:c>
      <x:c r="V12" s="54" t="n">
        <x:v>0</x:v>
      </x:c>
      <x:c r="W12" s="54" t="n">
        <x:v>0</x:v>
      </x:c>
      <x:c r="X12" s="44" t="n">
        <x:v>1016</x:v>
      </x:c>
      <x:c r="Y12" s="44" t="n">
        <x:v>1</x:v>
      </x:c>
      <x:c r="Z12" s="44" t="n">
        <x:v>0</x:v>
      </x:c>
      <x:c r="AA12" s="56" t="n">
        <x:f>IF($F$5+P12&gt;=65000,1,1-1/(1+($F$5+P12)/(60+$J$5*0.5)))</x:f>
        <x:v>0.3125</x:v>
      </x:c>
      <x:c r="AB12" s="56" t="n">
        <x:f>IF($F$5+Q12&gt;=65000,1,1-1/(1+($F$5+Q12)/(60+$J$5*0.5)))</x:f>
        <x:v>0.3125</x:v>
      </x:c>
      <x:c r="AC12" s="56" t="n">
        <x:f>IF($F$5+R12&gt;=65000,1,1-1/(1+($F$5+R12)/(60+$J$5*0.5)))</x:f>
        <x:v>0.3125</x:v>
      </x:c>
      <x:c r="AD12" s="56" t="n">
        <x:f>IF($F$5+S12&gt;=65000,1,1-1/(1+($F$5+S12)/(60+$J$5*0.5)))</x:f>
        <x:v>0.3125</x:v>
      </x:c>
      <x:c r="AE12" s="56" t="n">
        <x:f>IF($F$5+T12&gt;=65000,1,1-1/(1+($F$5+T12)/(60+$J$5*0.5)))</x:f>
        <x:v>0.3125</x:v>
      </x:c>
      <x:c r="AF12" s="56" t="n">
        <x:f>IF($F$5+U12&gt;=65000,1,1-1/(1+($F$5+U12)/(60+$J$5*0.5)))</x:f>
        <x:v>0.3125</x:v>
      </x:c>
      <x:c r="AG12" s="56" t="n">
        <x:f>IF($F$5+V12&gt;=65000,1,1-1/(1+($F$5+V12)/(60+$J$5*0.5)))</x:f>
        <x:v>0.3125</x:v>
      </x:c>
      <x:c r="AH12" s="56" t="n">
        <x:f>1-((5+$J$5*2)/(10+$J$5*2+MAX(0,$D$5+O12)))*(1/(1+MAX(0,$D$5+O12)/(90+$J$5*0.25)))</x:f>
        <x:v>0.6462865716429107</x:v>
      </x:c>
      <x:c r="AI12" s="44" t="str">
        <x:v>Skript + Text</x:v>
      </x:c>
      <x:c r="AJ12" s="44" t="str">
        <x:v>10d10+20</x:v>
      </x:c>
    </x:row>
    <x:row r="13" ht="49" customHeight="1">
      <x:c r="A13" s="44" t="n">
        <x:v>2</x:v>
      </x:c>
      <x:c r="B13" s="44" t="str">
        <x:v>Volcano</x:v>
      </x:c>
      <x:c r="C13" s="44" t="str">
        <x:v>2H-Axt</x:v>
      </x:c>
      <x:c r="D13" s="44" t="str">
        <x:v>MM8</x:v>
      </x:c>
      <x:c r="E13" s="50" t="n">
        <x:f>ROUND(X13*Y13,0)</x:f>
        <x:v>891</x:v>
      </x:c>
      <x:c r="F13" s="51" t="n">
        <x:f>ROUND(($B$5+N13*$H$5+W13)/(1-(AH13/2+(AA13+AB13+AC13+AD13+AE13+AF13)/16+AG13/8)),0)</x:f>
        <x:v>3986</x:v>
      </x:c>
      <x:c r="G13" s="51" t="n">
        <x:f>F13-$B$8</x:f>
        <x:v>144</x:v>
      </x:c>
      <x:c r="H13" s="44" t="str">
        <x:v>Nein</x:v>
      </x:c>
      <x:c r="I13" s="44" t="str">
        <x:v>+100 Feuerresistenz vor Skalierung; bei Level 100 +125.</x:v>
      </x:c>
      <x:c r="J13" s="44" t="str">
        <x:v>Feuer-Zusatzschaden pro Treffer; besser bei Gegnern mit niedriger Feuerresistenz.</x:v>
      </x:c>
      <x:c r="K13" s="44" t="str">
        <x:v>—</x:v>
      </x:c>
      <x:c r="L13" s="44" t="str">
        <x:v>Elementarschaden nicht eingerechnet.</x:v>
      </x:c>
      <x:c r="M13" s="44" t="str">
        <x:v>https://github.com/Malekitsu/Maw-Mod-MMMerge/blob/4.5/Scripts/General/zzMaw-Items.lua</x:v>
      </x:c>
      <x:c r="N13" s="54" t="n">
        <x:v>0</x:v>
      </x:c>
      <x:c r="O13" s="54" t="n">
        <x:v>0</x:v>
      </x:c>
      <x:c r="P13" s="54" t="n">
        <x:v>125</x:v>
      </x:c>
      <x:c r="Q13" s="54" t="n">
        <x:v>0</x:v>
      </x:c>
      <x:c r="R13" s="54" t="n">
        <x:v>0</x:v>
      </x:c>
      <x:c r="S13" s="54" t="n">
        <x:v>0</x:v>
      </x:c>
      <x:c r="T13" s="54" t="n">
        <x:v>0</x:v>
      </x:c>
      <x:c r="U13" s="54" t="n">
        <x:v>0</x:v>
      </x:c>
      <x:c r="V13" s="54" t="n">
        <x:v>0</x:v>
      </x:c>
      <x:c r="W13" s="54" t="n">
        <x:v>0</x:v>
      </x:c>
      <x:c r="X13" s="44" t="n">
        <x:v>891</x:v>
      </x:c>
      <x:c r="Y13" s="44" t="n">
        <x:v>1</x:v>
      </x:c>
      <x:c r="Z13" s="44" t="n">
        <x:v>0</x:v>
      </x:c>
      <x:c r="AA13" s="56" t="n">
        <x:f>IF($F$5+P13&gt;=65000,1,1-1/(1+($F$5+P13)/(60+$J$5*0.5)))</x:f>
        <x:v>0.6140350877192982</x:v>
      </x:c>
      <x:c r="AB13" s="56" t="n">
        <x:f>IF($F$5+Q13&gt;=65000,1,1-1/(1+($F$5+Q13)/(60+$J$5*0.5)))</x:f>
        <x:v>0.3125</x:v>
      </x:c>
      <x:c r="AC13" s="56" t="n">
        <x:f>IF($F$5+R13&gt;=65000,1,1-1/(1+($F$5+R13)/(60+$J$5*0.5)))</x:f>
        <x:v>0.3125</x:v>
      </x:c>
      <x:c r="AD13" s="56" t="n">
        <x:f>IF($F$5+S13&gt;=65000,1,1-1/(1+($F$5+S13)/(60+$J$5*0.5)))</x:f>
        <x:v>0.3125</x:v>
      </x:c>
      <x:c r="AE13" s="56" t="n">
        <x:f>IF($F$5+T13&gt;=65000,1,1-1/(1+($F$5+T13)/(60+$J$5*0.5)))</x:f>
        <x:v>0.3125</x:v>
      </x:c>
      <x:c r="AF13" s="56" t="n">
        <x:f>IF($F$5+U13&gt;=65000,1,1-1/(1+($F$5+U13)/(60+$J$5*0.5)))</x:f>
        <x:v>0.3125</x:v>
      </x:c>
      <x:c r="AG13" s="56" t="n">
        <x:f>IF($F$5+V13&gt;=65000,1,1-1/(1+($F$5+V13)/(60+$J$5*0.5)))</x:f>
        <x:v>0.3125</x:v>
      </x:c>
      <x:c r="AH13" s="56" t="n">
        <x:f>1-((5+$J$5*2)/(10+$J$5*2+MAX(0,$D$5+O13)))*(1/(1+MAX(0,$D$5+O13)/(90+$J$5*0.25)))</x:f>
        <x:v>0.6462865716429107</x:v>
      </x:c>
      <x:c r="AI13" s="44" t="str">
        <x:v>Text + MAW-Stats</x:v>
      </x:c>
      <x:c r="AJ13" s="44" t="str">
        <x:v>10d8+25</x:v>
      </x:c>
    </x:row>
    <x:row r="14" ht="49" customHeight="1">
      <x:c r="A14" s="44" t="n">
        <x:v>3</x:v>
      </x:c>
      <x:c r="B14" s="44" t="str">
        <x:v>Hercules</x:v>
      </x:c>
      <x:c r="C14" s="44" t="str">
        <x:v>2H-Schwert</x:v>
      </x:c>
      <x:c r="D14" s="44" t="str">
        <x:v>MM6</x:v>
      </x:c>
      <x:c r="E14" s="50" t="n">
        <x:f>ROUND(X14*Y14,0)</x:f>
        <x:v>885</x:v>
      </x:c>
      <x:c r="F14" s="51" t="n">
        <x:f>ROUND(($B$5+N14*$H$5+W14)/(1-(AH14/2+(AA14+AB14+AC14+AD14+AE14+AF14)/16+AG14/8)),0)</x:f>
        <x:v>4562</x:v>
      </x:c>
      <x:c r="G14" s="51" t="n">
        <x:f>F14-$B$8</x:f>
        <x:v>720</x:v>
      </x:c>
      <x:c r="H14" s="44" t="str">
        <x:v>Nein</x:v>
      </x:c>
      <x:c r="I14" s="44" t="str">
        <x:v>+100 Might, +60 Endurance, −30 Intellect vor MAW-Levelskalierung.</x:v>
      </x:c>
      <x:c r="J14" s="44" t="str">
        <x:v>Starkes Zweihandschwert; hohes Might steigert physischen Schaden.</x:v>
      </x:c>
      <x:c r="K14" s="44" t="str">
        <x:v>—</x:v>
      </x:c>
      <x:c r="L14" s="44" t="str">
        <x:v>Keine zusätzlichen Trefferprocs modelliert.</x:v>
      </x:c>
      <x:c r="M14" s="44" t="str">
        <x:v>https://github.com/Malekitsu/Maw-Mod-MMMerge/blob/4.5/Scripts/General/zzMaw-Items.lua</x:v>
      </x:c>
      <x:c r="N14" s="54" t="n">
        <x:v>75</x:v>
      </x:c>
      <x:c r="O14" s="54" t="n">
        <x:v>0</x:v>
      </x:c>
      <x:c r="P14" s="54" t="n">
        <x:v>0</x:v>
      </x:c>
      <x:c r="Q14" s="54" t="n">
        <x:v>0</x:v>
      </x:c>
      <x:c r="R14" s="54" t="n">
        <x:v>0</x:v>
      </x:c>
      <x:c r="S14" s="54" t="n">
        <x:v>0</x:v>
      </x:c>
      <x:c r="T14" s="54" t="n">
        <x:v>0</x:v>
      </x:c>
      <x:c r="U14" s="54" t="n">
        <x:v>0</x:v>
      </x:c>
      <x:c r="V14" s="54" t="n">
        <x:v>0</x:v>
      </x:c>
      <x:c r="W14" s="54" t="n">
        <x:v>0</x:v>
      </x:c>
      <x:c r="X14" s="44" t="n">
        <x:v>885</x:v>
      </x:c>
      <x:c r="Y14" s="44" t="n">
        <x:v>1</x:v>
      </x:c>
      <x:c r="Z14" s="44" t="n">
        <x:v>0</x:v>
      </x:c>
      <x:c r="AA14" s="56" t="n">
        <x:f>IF($F$5+P14&gt;=65000,1,1-1/(1+($F$5+P14)/(60+$J$5*0.5)))</x:f>
        <x:v>0.3125</x:v>
      </x:c>
      <x:c r="AB14" s="56" t="n">
        <x:f>IF($F$5+Q14&gt;=65000,1,1-1/(1+($F$5+Q14)/(60+$J$5*0.5)))</x:f>
        <x:v>0.3125</x:v>
      </x:c>
      <x:c r="AC14" s="56" t="n">
        <x:f>IF($F$5+R14&gt;=65000,1,1-1/(1+($F$5+R14)/(60+$J$5*0.5)))</x:f>
        <x:v>0.3125</x:v>
      </x:c>
      <x:c r="AD14" s="56" t="n">
        <x:f>IF($F$5+S14&gt;=65000,1,1-1/(1+($F$5+S14)/(60+$J$5*0.5)))</x:f>
        <x:v>0.3125</x:v>
      </x:c>
      <x:c r="AE14" s="56" t="n">
        <x:f>IF($F$5+T14&gt;=65000,1,1-1/(1+($F$5+T14)/(60+$J$5*0.5)))</x:f>
        <x:v>0.3125</x:v>
      </x:c>
      <x:c r="AF14" s="56" t="n">
        <x:f>IF($F$5+U14&gt;=65000,1,1-1/(1+($F$5+U14)/(60+$J$5*0.5)))</x:f>
        <x:v>0.3125</x:v>
      </x:c>
      <x:c r="AG14" s="56" t="n">
        <x:f>IF($F$5+V14&gt;=65000,1,1-1/(1+($F$5+V14)/(60+$J$5*0.5)))</x:f>
        <x:v>0.3125</x:v>
      </x:c>
      <x:c r="AH14" s="56" t="n">
        <x:f>1-((5+$J$5*2)/(10+$J$5*2+MAX(0,$D$5+O14)))*(1/(1+MAX(0,$D$5+O14)/(90+$J$5*0.25)))</x:f>
        <x:v>0.6462865716429107</x:v>
      </x:c>
      <x:c r="AI14" s="44" t="str">
        <x:v>MAW-Stats</x:v>
      </x:c>
      <x:c r="AJ14" s="44" t="str">
        <x:v>6d12+20</x:v>
      </x:c>
    </x:row>
    <x:row r="15" ht="49" customHeight="1">
      <x:c r="A15" s="44" t="n">
        <x:v>4</x:v>
      </x:c>
      <x:c r="B15" s="44" t="str">
        <x:v>Amuck</x:v>
      </x:c>
      <x:c r="C15" s="44" t="str">
        <x:v>2H-Axt</x:v>
      </x:c>
      <x:c r="D15" s="44" t="str">
        <x:v>MM7</x:v>
      </x:c>
      <x:c r="E15" s="50" t="n">
        <x:f>ROUND(X15*Y15,0)</x:f>
        <x:v>851</x:v>
      </x:c>
      <x:c r="F15" s="51" t="n">
        <x:f>ROUND(($B$5+N15*$H$5+W15)/(1-(AH15/2+(AA15+AB15+AC15+AD15+AE15+AF15)/16+AG15/8)),0)</x:f>
        <x:v>4773</x:v>
      </x:c>
      <x:c r="G15" s="51" t="n">
        <x:f>F15-$B$8</x:f>
        <x:v>931</x:v>
      </x:c>
      <x:c r="H15" s="44" t="str">
        <x:v>Nein</x:v>
      </x:c>
      <x:c r="I15" s="44" t="str">
        <x:v>+100 Might, +100 Endurance und −15 AC laut Gegenstandsbonus (je mit Levelskalierung).</x:v>
      </x:c>
      <x:c r="J15" s="44" t="str">
        <x:v>Hoher physischer Grundschaden; kein geskripteter Trefferproc gefunden.</x:v>
      </x:c>
      <x:c r="K15" s="44" t="str">
        <x:v>—</x:v>
      </x:c>
      <x:c r="L15" s="44" t="str">
        <x:v>Keine besonderen Schadensprocs in Benchmark.</x:v>
      </x:c>
      <x:c r="M15" s="44" t="str">
        <x:v>https://github.com/Malekitsu/Maw-Mod-MMMerge/blob/4.5/Scripts/General/zzMaw-Items.lua</x:v>
      </x:c>
      <x:c r="N15" s="54" t="n">
        <x:v>125</x:v>
      </x:c>
      <x:c r="O15" s="54" t="n">
        <x:v>-18.75</x:v>
      </x:c>
      <x:c r="P15" s="54" t="n">
        <x:v>0</x:v>
      </x:c>
      <x:c r="Q15" s="54" t="n">
        <x:v>0</x:v>
      </x:c>
      <x:c r="R15" s="54" t="n">
        <x:v>0</x:v>
      </x:c>
      <x:c r="S15" s="54" t="n">
        <x:v>0</x:v>
      </x:c>
      <x:c r="T15" s="54" t="n">
        <x:v>0</x:v>
      </x:c>
      <x:c r="U15" s="54" t="n">
        <x:v>0</x:v>
      </x:c>
      <x:c r="V15" s="54" t="n">
        <x:v>0</x:v>
      </x:c>
      <x:c r="W15" s="54" t="n">
        <x:v>0</x:v>
      </x:c>
      <x:c r="X15" s="44" t="n">
        <x:v>851</x:v>
      </x:c>
      <x:c r="Y15" s="44" t="n">
        <x:v>1</x:v>
      </x:c>
      <x:c r="Z15" s="44" t="n">
        <x:v>0</x:v>
      </x:c>
      <x:c r="AA15" s="56" t="n">
        <x:f>IF($F$5+P15&gt;=65000,1,1-1/(1+($F$5+P15)/(60+$J$5*0.5)))</x:f>
        <x:v>0.3125</x:v>
      </x:c>
      <x:c r="AB15" s="56" t="n">
        <x:f>IF($F$5+Q15&gt;=65000,1,1-1/(1+($F$5+Q15)/(60+$J$5*0.5)))</x:f>
        <x:v>0.3125</x:v>
      </x:c>
      <x:c r="AC15" s="56" t="n">
        <x:f>IF($F$5+R15&gt;=65000,1,1-1/(1+($F$5+R15)/(60+$J$5*0.5)))</x:f>
        <x:v>0.3125</x:v>
      </x:c>
      <x:c r="AD15" s="56" t="n">
        <x:f>IF($F$5+S15&gt;=65000,1,1-1/(1+($F$5+S15)/(60+$J$5*0.5)))</x:f>
        <x:v>0.3125</x:v>
      </x:c>
      <x:c r="AE15" s="56" t="n">
        <x:f>IF($F$5+T15&gt;=65000,1,1-1/(1+($F$5+T15)/(60+$J$5*0.5)))</x:f>
        <x:v>0.3125</x:v>
      </x:c>
      <x:c r="AF15" s="56" t="n">
        <x:f>IF($F$5+U15&gt;=65000,1,1-1/(1+($F$5+U15)/(60+$J$5*0.5)))</x:f>
        <x:v>0.3125</x:v>
      </x:c>
      <x:c r="AG15" s="56" t="n">
        <x:f>IF($F$5+V15&gt;=65000,1,1-1/(1+($F$5+V15)/(60+$J$5*0.5)))</x:f>
        <x:v>0.3125</x:v>
      </x:c>
      <x:c r="AH15" s="56" t="n">
        <x:f>1-((5+$J$5*2)/(10+$J$5*2+MAX(0,$D$5+O15)))*(1/(1+MAX(0,$D$5+O15)/(90+$J$5*0.25)))</x:f>
        <x:v>0.5875454470900194</x:v>
      </x:c>
      <x:c r="AI15" s="44" t="str">
        <x:v>MAW-Stats</x:v>
      </x:c>
      <x:c r="AJ15" s="44" t="str">
        <x:v>8d9+16</x:v>
      </x:c>
    </x:row>
    <x:row r="16" ht="49" customHeight="1">
      <x:c r="A16" s="44" t="n">
        <x:v>5</x:v>
      </x:c>
      <x:c r="B16" s="44" t="str">
        <x:v>Finality</x:v>
      </x:c>
      <x:c r="C16" s="44" t="str">
        <x:v>2H-Schwert</x:v>
      </x:c>
      <x:c r="D16" s="44" t="str">
        <x:v>MM8</x:v>
      </x:c>
      <x:c r="E16" s="50" t="n">
        <x:f>ROUND(X16*Y16,0)</x:f>
        <x:v>851</x:v>
      </x:c>
      <x:c r="F16" s="51" t="n">
        <x:f>ROUND(($B$5+N16*$H$5+W16)/(1-(AH16/2+(AA16+AB16+AC16+AD16+AE16+AF16)/16+AG16/8)),0)</x:f>
        <x:v>3842</x:v>
      </x:c>
      <x:c r="G16" s="51" t="n">
        <x:f>F16-$B$8</x:f>
        <x:v>0</x:v>
      </x:c>
      <x:c r="H16" s="44" t="str">
        <x:v>Nein</x:v>
      </x:c>
      <x:c r="I16" s="44" t="str">
        <x:v>+120 Accuracy, −20 Speed vor Levelskalierung.</x:v>
      </x:c>
      <x:c r="J16" s="44" t="str">
        <x:v>Feuerschaden pro Treffer und Slow (verlangsamt das Ziel).</x:v>
      </x:c>
      <x:c r="K16" s="44" t="str">
        <x:v>—</x:v>
      </x:c>
      <x:c r="L16" s="44" t="str">
        <x:v>Feuer und Slow nicht in DPS.</x:v>
      </x:c>
      <x:c r="M16" s="44" t="str">
        <x:v>https://github.com/Malekitsu/Maw-Mod-MMMerge/blob/4.5/Scripts/General/zzMaw-Items.lua</x:v>
      </x:c>
      <x:c r="N16" s="54" t="n">
        <x:v>0</x:v>
      </x:c>
      <x:c r="O16" s="54" t="n">
        <x:v>0</x:v>
      </x:c>
      <x:c r="P16" s="54" t="n">
        <x:v>0</x:v>
      </x:c>
      <x:c r="Q16" s="54" t="n">
        <x:v>0</x:v>
      </x:c>
      <x:c r="R16" s="54" t="n">
        <x:v>0</x:v>
      </x:c>
      <x:c r="S16" s="54" t="n">
        <x:v>0</x:v>
      </x:c>
      <x:c r="T16" s="54" t="n">
        <x:v>0</x:v>
      </x:c>
      <x:c r="U16" s="54" t="n">
        <x:v>0</x:v>
      </x:c>
      <x:c r="V16" s="54" t="n">
        <x:v>0</x:v>
      </x:c>
      <x:c r="W16" s="54" t="n">
        <x:v>0</x:v>
      </x:c>
      <x:c r="X16" s="44" t="n">
        <x:v>851</x:v>
      </x:c>
      <x:c r="Y16" s="44" t="n">
        <x:v>1</x:v>
      </x:c>
      <x:c r="Z16" s="44" t="n">
        <x:v>0</x:v>
      </x:c>
      <x:c r="AA16" s="56" t="n">
        <x:f>IF($F$5+P16&gt;=65000,1,1-1/(1+($F$5+P16)/(60+$J$5*0.5)))</x:f>
        <x:v>0.3125</x:v>
      </x:c>
      <x:c r="AB16" s="56" t="n">
        <x:f>IF($F$5+Q16&gt;=65000,1,1-1/(1+($F$5+Q16)/(60+$J$5*0.5)))</x:f>
        <x:v>0.3125</x:v>
      </x:c>
      <x:c r="AC16" s="56" t="n">
        <x:f>IF($F$5+R16&gt;=65000,1,1-1/(1+($F$5+R16)/(60+$J$5*0.5)))</x:f>
        <x:v>0.3125</x:v>
      </x:c>
      <x:c r="AD16" s="56" t="n">
        <x:f>IF($F$5+S16&gt;=65000,1,1-1/(1+($F$5+S16)/(60+$J$5*0.5)))</x:f>
        <x:v>0.3125</x:v>
      </x:c>
      <x:c r="AE16" s="56" t="n">
        <x:f>IF($F$5+T16&gt;=65000,1,1-1/(1+($F$5+T16)/(60+$J$5*0.5)))</x:f>
        <x:v>0.3125</x:v>
      </x:c>
      <x:c r="AF16" s="56" t="n">
        <x:f>IF($F$5+U16&gt;=65000,1,1-1/(1+($F$5+U16)/(60+$J$5*0.5)))</x:f>
        <x:v>0.3125</x:v>
      </x:c>
      <x:c r="AG16" s="56" t="n">
        <x:f>IF($F$5+V16&gt;=65000,1,1-1/(1+($F$5+V16)/(60+$J$5*0.5)))</x:f>
        <x:v>0.3125</x:v>
      </x:c>
      <x:c r="AH16" s="56" t="n">
        <x:f>1-((5+$J$5*2)/(10+$J$5*2+MAX(0,$D$5+O16)))*(1/(1+MAX(0,$D$5+O16)/(90+$J$5*0.25)))</x:f>
        <x:v>0.6462865716429107</x:v>
      </x:c>
      <x:c r="AI16" s="44" t="str">
        <x:v>Text + MAW-Stats</x:v>
      </x:c>
      <x:c r="AJ16" s="44" t="str">
        <x:v>8d8+25</x:v>
      </x:c>
    </x:row>
    <x:row r="17" ht="49" customHeight="1">
      <x:c r="A17" s="44" t="n">
        <x:v>6</x:v>
      </x:c>
      <x:c r="B17" s="44" t="str">
        <x:v>Iron Feather</x:v>
      </x:c>
      <x:c r="C17" s="44" t="str">
        <x:v>2H-Schwert</x:v>
      </x:c>
      <x:c r="D17" s="44" t="str">
        <x:v>MM7</x:v>
      </x:c>
      <x:c r="E17" s="50" t="n">
        <x:f>ROUND(X17*Y17,0)</x:f>
        <x:v>766</x:v>
      </x:c>
      <x:c r="F17" s="51" t="n">
        <x:f>ROUND(($B$5+N17*$H$5+W17)/(1-(AH17/2+(AA17+AB17+AC17+AD17+AE17+AF17)/16+AG17/8)),0)</x:f>
        <x:v>3842</x:v>
      </x:c>
      <x:c r="G17" s="51" t="n">
        <x:f>F17-$B$8</x:f>
        <x:v>0</x:v>
      </x:c>
      <x:c r="H17" s="44" t="str">
        <x:v>Nein</x:v>
      </x:c>
      <x:c r="I17" s="44" t="str">
        <x:v>+80 Might vor Levelskalierung.</x:v>
      </x:c>
      <x:c r="J17" s="44" t="str">
        <x:v>Geskripteter zusätzlicher Luft-/Elektrizitätsschaden von 15 Basis je Treffer.</x:v>
      </x:c>
      <x:c r="K17" s="44" t="str">
        <x:v>—</x:v>
      </x:c>
      <x:c r="L17" s="44" t="str">
        <x:v>Luftschaden nicht in DPS.</x:v>
      </x:c>
      <x:c r="M17" s="44" t="str">
        <x:v>https://github.com/Malekitsu/Maw-Mod-MMMerge/blob/4.5/Scripts/General/zzMaw-Items.lua</x:v>
      </x:c>
      <x:c r="N17" s="54" t="n">
        <x:v>0</x:v>
      </x:c>
      <x:c r="O17" s="54" t="n">
        <x:v>0</x:v>
      </x:c>
      <x:c r="P17" s="54" t="n">
        <x:v>0</x:v>
      </x:c>
      <x:c r="Q17" s="54" t="n">
        <x:v>0</x:v>
      </x:c>
      <x:c r="R17" s="54" t="n">
        <x:v>0</x:v>
      </x:c>
      <x:c r="S17" s="54" t="n">
        <x:v>0</x:v>
      </x:c>
      <x:c r="T17" s="54" t="n">
        <x:v>0</x:v>
      </x:c>
      <x:c r="U17" s="54" t="n">
        <x:v>0</x:v>
      </x:c>
      <x:c r="V17" s="54" t="n">
        <x:v>0</x:v>
      </x:c>
      <x:c r="W17" s="54" t="n">
        <x:v>0</x:v>
      </x:c>
      <x:c r="X17" s="44" t="n">
        <x:v>766</x:v>
      </x:c>
      <x:c r="Y17" s="44" t="n">
        <x:v>1</x:v>
      </x:c>
      <x:c r="Z17" s="44" t="n">
        <x:v>0</x:v>
      </x:c>
      <x:c r="AA17" s="56" t="n">
        <x:f>IF($F$5+P17&gt;=65000,1,1-1/(1+($F$5+P17)/(60+$J$5*0.5)))</x:f>
        <x:v>0.3125</x:v>
      </x:c>
      <x:c r="AB17" s="56" t="n">
        <x:f>IF($F$5+Q17&gt;=65000,1,1-1/(1+($F$5+Q17)/(60+$J$5*0.5)))</x:f>
        <x:v>0.3125</x:v>
      </x:c>
      <x:c r="AC17" s="56" t="n">
        <x:f>IF($F$5+R17&gt;=65000,1,1-1/(1+($F$5+R17)/(60+$J$5*0.5)))</x:f>
        <x:v>0.3125</x:v>
      </x:c>
      <x:c r="AD17" s="56" t="n">
        <x:f>IF($F$5+S17&gt;=65000,1,1-1/(1+($F$5+S17)/(60+$J$5*0.5)))</x:f>
        <x:v>0.3125</x:v>
      </x:c>
      <x:c r="AE17" s="56" t="n">
        <x:f>IF($F$5+T17&gt;=65000,1,1-1/(1+($F$5+T17)/(60+$J$5*0.5)))</x:f>
        <x:v>0.3125</x:v>
      </x:c>
      <x:c r="AF17" s="56" t="n">
        <x:f>IF($F$5+U17&gt;=65000,1,1-1/(1+($F$5+U17)/(60+$J$5*0.5)))</x:f>
        <x:v>0.3125</x:v>
      </x:c>
      <x:c r="AG17" s="56" t="n">
        <x:f>IF($F$5+V17&gt;=65000,1,1-1/(1+($F$5+V17)/(60+$J$5*0.5)))</x:f>
        <x:v>0.3125</x:v>
      </x:c>
      <x:c r="AH17" s="56" t="n">
        <x:f>1-((5+$J$5*2)/(10+$J$5*2+MAX(0,$D$5+O17)))*(1/(1+MAX(0,$D$5+O17)/(90+$J$5*0.25)))</x:f>
        <x:v>0.6462865716429107</x:v>
      </x:c>
      <x:c r="AI17" s="44" t="str">
        <x:v>Skript</x:v>
      </x:c>
      <x:c r="AJ17" s="44" t="str">
        <x:v>9d10+25</x:v>
      </x:c>
    </x:row>
    <x:row r="18" ht="49" customHeight="1">
      <x:c r="A18" s="44" t="n">
        <x:v>7</x:v>
      </x:c>
      <x:c r="B18" s="44" t="str">
        <x:v>Longseeker</x:v>
      </x:c>
      <x:c r="C18" s="44" t="str">
        <x:v>Bogen</x:v>
      </x:c>
      <x:c r="D18" s="44" t="str">
        <x:v>MM8</x:v>
      </x:c>
      <x:c r="E18" s="50" t="n">
        <x:f>ROUND(X18*Y18,0)</x:f>
        <x:v>736</x:v>
      </x:c>
      <x:c r="F18" s="51" t="n">
        <x:f>ROUND(($B$5+N18*$H$5+W18)/(1-(AH18/2+(AA18+AB18+AC18+AD18+AE18+AF18)/16+AG18/8)),0)</x:f>
        <x:v>3842</x:v>
      </x:c>
      <x:c r="G18" s="51" t="n">
        <x:f>F18-$B$8</x:f>
        <x:v>0</x:v>
      </x:c>
      <x:c r="H18" s="44" t="str">
        <x:v>Nein</x:v>
      </x:c>
      <x:c r="I18" s="44" t="str">
        <x:v>+50 Accuracy vor Skalierung; kein defensiver Stat.</x:v>
      </x:c>
      <x:c r="J18" s="44" t="str">
        <x:v>Schneller Bogen laut Itemtext, zusätzlich Bow-Skill +4 (MAW: +5 bei Level 100).</x:v>
      </x:c>
      <x:c r="K18" s="44" t="str">
        <x:v>—</x:v>
      </x:c>
      <x:c r="L18" s="44" t="str">
        <x:v>Swift-Auswirkung nicht in DPS.</x:v>
      </x:c>
      <x:c r="M18" s="44" t="str">
        <x:v>https://github.com/Malekitsu/Maw-Mod-MMMerge/blob/4.5/Scripts/General/zzMaw-Items.lua</x:v>
      </x:c>
      <x:c r="N18" s="54" t="n">
        <x:v>0</x:v>
      </x:c>
      <x:c r="O18" s="54" t="n">
        <x:v>0</x:v>
      </x:c>
      <x:c r="P18" s="54" t="n">
        <x:v>0</x:v>
      </x:c>
      <x:c r="Q18" s="54" t="n">
        <x:v>0</x:v>
      </x:c>
      <x:c r="R18" s="54" t="n">
        <x:v>0</x:v>
      </x:c>
      <x:c r="S18" s="54" t="n">
        <x:v>0</x:v>
      </x:c>
      <x:c r="T18" s="54" t="n">
        <x:v>0</x:v>
      </x:c>
      <x:c r="U18" s="54" t="n">
        <x:v>0</x:v>
      </x:c>
      <x:c r="V18" s="54" t="n">
        <x:v>0</x:v>
      </x:c>
      <x:c r="W18" s="54" t="n">
        <x:v>0</x:v>
      </x:c>
      <x:c r="X18" s="44" t="n">
        <x:v>736</x:v>
      </x:c>
      <x:c r="Y18" s="44" t="n">
        <x:v>1</x:v>
      </x:c>
      <x:c r="Z18" s="44" t="n">
        <x:v>0</x:v>
      </x:c>
      <x:c r="AA18" s="56" t="n">
        <x:f>IF($F$5+P18&gt;=65000,1,1-1/(1+($F$5+P18)/(60+$J$5*0.5)))</x:f>
        <x:v>0.3125</x:v>
      </x:c>
      <x:c r="AB18" s="56" t="n">
        <x:f>IF($F$5+Q18&gt;=65000,1,1-1/(1+($F$5+Q18)/(60+$J$5*0.5)))</x:f>
        <x:v>0.3125</x:v>
      </x:c>
      <x:c r="AC18" s="56" t="n">
        <x:f>IF($F$5+R18&gt;=65000,1,1-1/(1+($F$5+R18)/(60+$J$5*0.5)))</x:f>
        <x:v>0.3125</x:v>
      </x:c>
      <x:c r="AD18" s="56" t="n">
        <x:f>IF($F$5+S18&gt;=65000,1,1-1/(1+($F$5+S18)/(60+$J$5*0.5)))</x:f>
        <x:v>0.3125</x:v>
      </x:c>
      <x:c r="AE18" s="56" t="n">
        <x:f>IF($F$5+T18&gt;=65000,1,1-1/(1+($F$5+T18)/(60+$J$5*0.5)))</x:f>
        <x:v>0.3125</x:v>
      </x:c>
      <x:c r="AF18" s="56" t="n">
        <x:f>IF($F$5+U18&gt;=65000,1,1-1/(1+($F$5+U18)/(60+$J$5*0.5)))</x:f>
        <x:v>0.3125</x:v>
      </x:c>
      <x:c r="AG18" s="56" t="n">
        <x:f>IF($F$5+V18&gt;=65000,1,1-1/(1+($F$5+V18)/(60+$J$5*0.5)))</x:f>
        <x:v>0.3125</x:v>
      </x:c>
      <x:c r="AH18" s="56" t="n">
        <x:f>1-((5+$J$5*2)/(10+$J$5*2+MAX(0,$D$5+O18)))*(1/(1+MAX(0,$D$5+O18)/(90+$J$5*0.25)))</x:f>
        <x:v>0.6462865716429107</x:v>
      </x:c>
      <x:c r="AI18" s="44" t="str">
        <x:v>Itemtext + MAW-Skills</x:v>
      </x:c>
      <x:c r="AJ18" s="44" t="str">
        <x:v>15d2+14</x:v>
      </x:c>
    </x:row>
    <x:row r="19" ht="49" customHeight="1">
      <x:c r="A19" s="44" t="n">
        <x:v>8</x:v>
      </x:c>
      <x:c r="B19" s="44" t="str">
        <x:v>Elfbane</x:v>
      </x:c>
      <x:c r="C19" s="44" t="str">
        <x:v>2H-Schwert</x:v>
      </x:c>
      <x:c r="D19" s="44" t="str">
        <x:v>MM7</x:v>
      </x:c>
      <x:c r="E19" s="50" t="n">
        <x:f>ROUND(X19*Y19,0)</x:f>
        <x:v>685</x:v>
      </x:c>
      <x:c r="F19" s="51" t="n">
        <x:f>ROUND(($B$5+N19*$H$5+W19)/(1-(AH19/2+(AA19+AB19+AC19+AD19+AE19+AF19)/16+AG19/8)),0)</x:f>
        <x:v>3842</x:v>
      </x:c>
      <x:c r="G19" s="51" t="n">
        <x:f>F19-$B$8</x:f>
        <x:v>0</x:v>
      </x:c>
      <x:c r="H19" s="44" t="str">
        <x:v>Nein</x:v>
      </x:c>
      <x:c r="I19" s="44" t="str">
        <x:v>+100 Speed vor Levelskalierung; Schutz-/Schildbonus nicht in Vitality-Modell enthalten.</x:v>
      </x:c>
      <x:c r="J19" s="44" t="str">
        <x:v>Doppelter Trefferschaden gegen Elfen; zusätzlich Schutzzauber laut Itemtext.</x:v>
      </x:c>
      <x:c r="K19" s="44" t="str">
        <x:v>Nur Goblins (laut ExtraArtifacts).</x:v>
      </x:c>
      <x:c r="L19" s="44" t="str">
        <x:v>Elf-Slaying und Shielding nicht in DPS.</x:v>
      </x:c>
      <x:c r="M19" s="44" t="str">
        <x:v>https://github.com/Malekitsu/Maw-Mod-MMMerge/blob/4.5/Scripts/General/zzMaw-Items.lua</x:v>
      </x:c>
      <x:c r="N19" s="54" t="n">
        <x:v>0</x:v>
      </x:c>
      <x:c r="O19" s="54" t="n">
        <x:v>0</x:v>
      </x:c>
      <x:c r="P19" s="54" t="n">
        <x:v>0</x:v>
      </x:c>
      <x:c r="Q19" s="54" t="n">
        <x:v>0</x:v>
      </x:c>
      <x:c r="R19" s="54" t="n">
        <x:v>0</x:v>
      </x:c>
      <x:c r="S19" s="54" t="n">
        <x:v>0</x:v>
      </x:c>
      <x:c r="T19" s="54" t="n">
        <x:v>0</x:v>
      </x:c>
      <x:c r="U19" s="54" t="n">
        <x:v>0</x:v>
      </x:c>
      <x:c r="V19" s="54" t="n">
        <x:v>0</x:v>
      </x:c>
      <x:c r="W19" s="54" t="n">
        <x:v>0</x:v>
      </x:c>
      <x:c r="X19" s="44" t="n">
        <x:v>685</x:v>
      </x:c>
      <x:c r="Y19" s="44" t="n">
        <x:v>1</x:v>
      </x:c>
      <x:c r="Z19" s="44" t="n">
        <x:v>0</x:v>
      </x:c>
      <x:c r="AA19" s="56" t="n">
        <x:f>IF($F$5+P19&gt;=65000,1,1-1/(1+($F$5+P19)/(60+$J$5*0.5)))</x:f>
        <x:v>0.3125</x:v>
      </x:c>
      <x:c r="AB19" s="56" t="n">
        <x:f>IF($F$5+Q19&gt;=65000,1,1-1/(1+($F$5+Q19)/(60+$J$5*0.5)))</x:f>
        <x:v>0.3125</x:v>
      </x:c>
      <x:c r="AC19" s="56" t="n">
        <x:f>IF($F$5+R19&gt;=65000,1,1-1/(1+($F$5+R19)/(60+$J$5*0.5)))</x:f>
        <x:v>0.3125</x:v>
      </x:c>
      <x:c r="AD19" s="56" t="n">
        <x:f>IF($F$5+S19&gt;=65000,1,1-1/(1+($F$5+S19)/(60+$J$5*0.5)))</x:f>
        <x:v>0.3125</x:v>
      </x:c>
      <x:c r="AE19" s="56" t="n">
        <x:f>IF($F$5+T19&gt;=65000,1,1-1/(1+($F$5+T19)/(60+$J$5*0.5)))</x:f>
        <x:v>0.3125</x:v>
      </x:c>
      <x:c r="AF19" s="56" t="n">
        <x:f>IF($F$5+U19&gt;=65000,1,1-1/(1+($F$5+U19)/(60+$J$5*0.5)))</x:f>
        <x:v>0.3125</x:v>
      </x:c>
      <x:c r="AG19" s="56" t="n">
        <x:f>IF($F$5+V19&gt;=65000,1,1-1/(1+($F$5+V19)/(60+$J$5*0.5)))</x:f>
        <x:v>0.3125</x:v>
      </x:c>
      <x:c r="AH19" s="56" t="n">
        <x:f>1-((5+$J$5*2)/(10+$J$5*2+MAX(0,$D$5+O19)))*(1/(1+MAX(0,$D$5+O19)/(90+$J$5*0.25)))</x:f>
        <x:v>0.6462865716429107</x:v>
      </x:c>
      <x:c r="AI19" s="44" t="str">
        <x:v>Skript + MAW-Stats</x:v>
      </x:c>
      <x:c r="AJ19" s="44" t="str">
        <x:v>8d8+32</x:v>
      </x:c>
    </x:row>
    <x:row r="20" ht="49" customHeight="1">
      <x:c r="A20" s="44" t="n">
        <x:v>9</x:v>
      </x:c>
      <x:c r="B20" s="44" t="str">
        <x:v>Ghoulsbane</x:v>
      </x:c>
      <x:c r="C20" s="44" t="str">
        <x:v>2H-Axt</x:v>
      </x:c>
      <x:c r="D20" s="44" t="str">
        <x:v>MM7</x:v>
      </x:c>
      <x:c r="E20" s="50" t="n">
        <x:f>ROUND(X20*Y20,0)</x:f>
        <x:v>683</x:v>
      </x:c>
      <x:c r="F20" s="51" t="n">
        <x:f>ROUND(($B$5+N20*$H$5+W20)/(1-(AH20/2+(AA20+AB20+AC20+AD20+AE20+AF20)/16+AG20/8)),0)</x:f>
        <x:v>3842</x:v>
      </x:c>
      <x:c r="G20" s="51" t="n">
        <x:f>F20-$B$8</x:f>
        <x:v>0</x:v>
      </x:c>
      <x:c r="H20" s="44" t="str">
        <x:v>Nein</x:v>
      </x:c>
      <x:c r="I20" s="44" t="str">
        <x:v>Immunität gegen Paralyse laut ExtraArtifacts.</x:v>
      </x:c>
      <x:c r="J20" s="44" t="str">
        <x:v>Untote erleiden doppelten Trefferschaden; zusätzlich geskripteter Feuerschaden (15 Basis je Treffer).</x:v>
      </x:c>
      <x:c r="K20" s="44" t="str">
        <x:v>—</x:v>
      </x:c>
      <x:c r="L20" s="44" t="str">
        <x:v>Undead-Slaying und Feuerschaden nicht enthalten.</x:v>
      </x:c>
      <x:c r="M20" s="44" t="str">
        <x:v>https://github.com/Malekitsu/Maw-Mod-MMMerge/blob/4.5/Scripts/Global/ExtraArtifacts.lua</x:v>
      </x:c>
      <x:c r="N20" s="54" t="n">
        <x:v>0</x:v>
      </x:c>
      <x:c r="O20" s="54" t="n">
        <x:v>0</x:v>
      </x:c>
      <x:c r="P20" s="54" t="n">
        <x:v>0</x:v>
      </x:c>
      <x:c r="Q20" s="54" t="n">
        <x:v>0</x:v>
      </x:c>
      <x:c r="R20" s="54" t="n">
        <x:v>0</x:v>
      </x:c>
      <x:c r="S20" s="54" t="n">
        <x:v>0</x:v>
      </x:c>
      <x:c r="T20" s="54" t="n">
        <x:v>0</x:v>
      </x:c>
      <x:c r="U20" s="54" t="n">
        <x:v>0</x:v>
      </x:c>
      <x:c r="V20" s="54" t="n">
        <x:v>0</x:v>
      </x:c>
      <x:c r="W20" s="54" t="n">
        <x:v>0</x:v>
      </x:c>
      <x:c r="X20" s="44" t="n">
        <x:v>683</x:v>
      </x:c>
      <x:c r="Y20" s="44" t="n">
        <x:v>1</x:v>
      </x:c>
      <x:c r="Z20" s="44" t="n">
        <x:v>0</x:v>
      </x:c>
      <x:c r="AA20" s="56" t="n">
        <x:f>IF($F$5+P20&gt;=65000,1,1-1/(1+($F$5+P20)/(60+$J$5*0.5)))</x:f>
        <x:v>0.3125</x:v>
      </x:c>
      <x:c r="AB20" s="56" t="n">
        <x:f>IF($F$5+Q20&gt;=65000,1,1-1/(1+($F$5+Q20)/(60+$J$5*0.5)))</x:f>
        <x:v>0.3125</x:v>
      </x:c>
      <x:c r="AC20" s="56" t="n">
        <x:f>IF($F$5+R20&gt;=65000,1,1-1/(1+($F$5+R20)/(60+$J$5*0.5)))</x:f>
        <x:v>0.3125</x:v>
      </x:c>
      <x:c r="AD20" s="56" t="n">
        <x:f>IF($F$5+S20&gt;=65000,1,1-1/(1+($F$5+S20)/(60+$J$5*0.5)))</x:f>
        <x:v>0.3125</x:v>
      </x:c>
      <x:c r="AE20" s="56" t="n">
        <x:f>IF($F$5+T20&gt;=65000,1,1-1/(1+($F$5+T20)/(60+$J$5*0.5)))</x:f>
        <x:v>0.3125</x:v>
      </x:c>
      <x:c r="AF20" s="56" t="n">
        <x:f>IF($F$5+U20&gt;=65000,1,1-1/(1+($F$5+U20)/(60+$J$5*0.5)))</x:f>
        <x:v>0.3125</x:v>
      </x:c>
      <x:c r="AG20" s="56" t="n">
        <x:f>IF($F$5+V20&gt;=65000,1,1-1/(1+($F$5+V20)/(60+$J$5*0.5)))</x:f>
        <x:v>0.3125</x:v>
      </x:c>
      <x:c r="AH20" s="56" t="n">
        <x:f>1-((5+$J$5*2)/(10+$J$5*2+MAX(0,$D$5+O20)))*(1/(1+MAX(0,$D$5+O20)/(90+$J$5*0.25)))</x:f>
        <x:v>0.6462865716429107</x:v>
      </x:c>
      <x:c r="AI20" s="44" t="str">
        <x:v>Skript</x:v>
      </x:c>
      <x:c r="AJ20" s="44" t="str">
        <x:v>6d9+19</x:v>
      </x:c>
    </x:row>
    <x:row r="21" ht="49" customHeight="1">
      <x:c r="A21" s="44" t="n">
        <x:v>10</x:v>
      </x:c>
      <x:c r="B21" s="44" t="str">
        <x:v>Wallace</x:v>
      </x:c>
      <x:c r="C21" s="44" t="str">
        <x:v>1H-Schwert</x:v>
      </x:c>
      <x:c r="D21" s="44" t="str">
        <x:v>MM7</x:v>
      </x:c>
      <x:c r="E21" s="50" t="n">
        <x:f>ROUND(X21*Y21,0)</x:f>
        <x:v>649</x:v>
      </x:c>
      <x:c r="F21" s="51" t="n">
        <x:f>ROUND(($B$5+N21*$H$5+W21)/(1-(AH21/2+(AA21+AB21+AC21+AD21+AE21+AF21)/16+AG21/8)),0)</x:f>
        <x:v>3842</x:v>
      </x:c>
      <x:c r="G21" s="51" t="n">
        <x:f>F21-$B$8</x:f>
        <x:v>0</x:v>
      </x:c>
      <x:c r="H21" s="44" t="str">
        <x:v>Nein</x:v>
      </x:c>
      <x:c r="I21" s="44" t="str">
        <x:v>+40 Personality vor Levelskalierung, kaum direkter Vitality-Effekt.</x:v>
      </x:c>
      <x:c r="J21" s="44" t="str">
        <x:v>+10 Armsmaster (MAW bei Level 100 +13): steigert physischen Schaden und Tempo.</x:v>
      </x:c>
      <x:c r="K21" s="44" t="str">
        <x:v>—</x:v>
      </x:c>
      <x:c r="L21" s="44" t="str">
        <x:v>Skillbonus ist im Modell-DPS berücksichtigt.</x:v>
      </x:c>
      <x:c r="M21" s="44" t="str">
        <x:v>https://github.com/Malekitsu/Maw-Mod-MMMerge/blob/4.5/Scripts/General/zzMaw-Items.lua</x:v>
      </x:c>
      <x:c r="N21" s="54" t="n">
        <x:v>0</x:v>
      </x:c>
      <x:c r="O21" s="54" t="n">
        <x:v>0</x:v>
      </x:c>
      <x:c r="P21" s="54" t="n">
        <x:v>0</x:v>
      </x:c>
      <x:c r="Q21" s="54" t="n">
        <x:v>0</x:v>
      </x:c>
      <x:c r="R21" s="54" t="n">
        <x:v>0</x:v>
      </x:c>
      <x:c r="S21" s="54" t="n">
        <x:v>0</x:v>
      </x:c>
      <x:c r="T21" s="54" t="n">
        <x:v>0</x:v>
      </x:c>
      <x:c r="U21" s="54" t="n">
        <x:v>0</x:v>
      </x:c>
      <x:c r="V21" s="54" t="n">
        <x:v>0</x:v>
      </x:c>
      <x:c r="W21" s="54" t="n">
        <x:v>0</x:v>
      </x:c>
      <x:c r="X21" s="44" t="n">
        <x:v>649</x:v>
      </x:c>
      <x:c r="Y21" s="44" t="n">
        <x:v>1</x:v>
      </x:c>
      <x:c r="Z21" s="44" t="n">
        <x:v>0</x:v>
      </x:c>
      <x:c r="AA21" s="56" t="n">
        <x:f>IF($F$5+P21&gt;=65000,1,1-1/(1+($F$5+P21)/(60+$J$5*0.5)))</x:f>
        <x:v>0.3125</x:v>
      </x:c>
      <x:c r="AB21" s="56" t="n">
        <x:f>IF($F$5+Q21&gt;=65000,1,1-1/(1+($F$5+Q21)/(60+$J$5*0.5)))</x:f>
        <x:v>0.3125</x:v>
      </x:c>
      <x:c r="AC21" s="56" t="n">
        <x:f>IF($F$5+R21&gt;=65000,1,1-1/(1+($F$5+R21)/(60+$J$5*0.5)))</x:f>
        <x:v>0.3125</x:v>
      </x:c>
      <x:c r="AD21" s="56" t="n">
        <x:f>IF($F$5+S21&gt;=65000,1,1-1/(1+($F$5+S21)/(60+$J$5*0.5)))</x:f>
        <x:v>0.3125</x:v>
      </x:c>
      <x:c r="AE21" s="56" t="n">
        <x:f>IF($F$5+T21&gt;=65000,1,1-1/(1+($F$5+T21)/(60+$J$5*0.5)))</x:f>
        <x:v>0.3125</x:v>
      </x:c>
      <x:c r="AF21" s="56" t="n">
        <x:f>IF($F$5+U21&gt;=65000,1,1-1/(1+($F$5+U21)/(60+$J$5*0.5)))</x:f>
        <x:v>0.3125</x:v>
      </x:c>
      <x:c r="AG21" s="56" t="n">
        <x:f>IF($F$5+V21&gt;=65000,1,1-1/(1+($F$5+V21)/(60+$J$5*0.5)))</x:f>
        <x:v>0.3125</x:v>
      </x:c>
      <x:c r="AH21" s="56" t="n">
        <x:f>1-((5+$J$5*2)/(10+$J$5*2+MAX(0,$D$5+O21)))*(1/(1+MAX(0,$D$5+O21)/(90+$J$5*0.25)))</x:f>
        <x:v>0.6462865716429107</x:v>
      </x:c>
      <x:c r="AI21" s="44" t="str">
        <x:v>MAW-Stats</x:v>
      </x:c>
      <x:c r="AJ21" s="44" t="str">
        <x:v>5d4+30</x:v>
      </x:c>
    </x:row>
    <x:row r="22" ht="49" customHeight="1">
      <x:c r="A22" s="44" t="n">
        <x:v>11</x:v>
      </x:c>
      <x:c r="B22" s="44" t="str">
        <x:v>Ullyses</x:v>
      </x:c>
      <x:c r="C22" s="44" t="str">
        <x:v>Bogen</x:v>
      </x:c>
      <x:c r="D22" s="44" t="str">
        <x:v>MM7</x:v>
      </x:c>
      <x:c r="E22" s="50" t="n">
        <x:f>ROUND(X22*Y22,0)</x:f>
        <x:v>634</x:v>
      </x:c>
      <x:c r="F22" s="51" t="n">
        <x:f>ROUND(($B$5+N22*$H$5+W22)/(1-(AH22/2+(AA22+AB22+AC22+AD22+AE22+AF22)/16+AG22/8)),0)</x:f>
        <x:v>3842</x:v>
      </x:c>
      <x:c r="G22" s="51" t="n">
        <x:f>F22-$B$8</x:f>
        <x:v>0</x:v>
      </x:c>
      <x:c r="H22" s="44" t="str">
        <x:v>Nein</x:v>
      </x:c>
      <x:c r="I22" s="44" t="str">
        <x:v>+80 Accuracy vor Skalierung.</x:v>
      </x:c>
      <x:c r="J22" s="44" t="str">
        <x:v>Geskripteter Wasserschaden (+15 Basis) bei Treffer.</x:v>
      </x:c>
      <x:c r="K22" s="44" t="str">
        <x:v>—</x:v>
      </x:c>
      <x:c r="L22" s="44" t="str">
        <x:v>Wasserschaden nicht in DPS.</x:v>
      </x:c>
      <x:c r="M22" s="44" t="str">
        <x:v>https://github.com/Malekitsu/Maw-Mod-MMMerge/blob/4.5/Scripts/General/zzMaw-Items.lua</x:v>
      </x:c>
      <x:c r="N22" s="54" t="n">
        <x:v>0</x:v>
      </x:c>
      <x:c r="O22" s="54" t="n">
        <x:v>0</x:v>
      </x:c>
      <x:c r="P22" s="54" t="n">
        <x:v>0</x:v>
      </x:c>
      <x:c r="Q22" s="54" t="n">
        <x:v>0</x:v>
      </x:c>
      <x:c r="R22" s="54" t="n">
        <x:v>0</x:v>
      </x:c>
      <x:c r="S22" s="54" t="n">
        <x:v>0</x:v>
      </x:c>
      <x:c r="T22" s="54" t="n">
        <x:v>0</x:v>
      </x:c>
      <x:c r="U22" s="54" t="n">
        <x:v>0</x:v>
      </x:c>
      <x:c r="V22" s="54" t="n">
        <x:v>0</x:v>
      </x:c>
      <x:c r="W22" s="54" t="n">
        <x:v>0</x:v>
      </x:c>
      <x:c r="X22" s="44" t="n">
        <x:v>634</x:v>
      </x:c>
      <x:c r="Y22" s="44" t="n">
        <x:v>1</x:v>
      </x:c>
      <x:c r="Z22" s="44" t="n">
        <x:v>0</x:v>
      </x:c>
      <x:c r="AA22" s="56" t="n">
        <x:f>IF($F$5+P22&gt;=65000,1,1-1/(1+($F$5+P22)/(60+$J$5*0.5)))</x:f>
        <x:v>0.3125</x:v>
      </x:c>
      <x:c r="AB22" s="56" t="n">
        <x:f>IF($F$5+Q22&gt;=65000,1,1-1/(1+($F$5+Q22)/(60+$J$5*0.5)))</x:f>
        <x:v>0.3125</x:v>
      </x:c>
      <x:c r="AC22" s="56" t="n">
        <x:f>IF($F$5+R22&gt;=65000,1,1-1/(1+($F$5+R22)/(60+$J$5*0.5)))</x:f>
        <x:v>0.3125</x:v>
      </x:c>
      <x:c r="AD22" s="56" t="n">
        <x:f>IF($F$5+S22&gt;=65000,1,1-1/(1+($F$5+S22)/(60+$J$5*0.5)))</x:f>
        <x:v>0.3125</x:v>
      </x:c>
      <x:c r="AE22" s="56" t="n">
        <x:f>IF($F$5+T22&gt;=65000,1,1-1/(1+($F$5+T22)/(60+$J$5*0.5)))</x:f>
        <x:v>0.3125</x:v>
      </x:c>
      <x:c r="AF22" s="56" t="n">
        <x:f>IF($F$5+U22&gt;=65000,1,1-1/(1+($F$5+U22)/(60+$J$5*0.5)))</x:f>
        <x:v>0.3125</x:v>
      </x:c>
      <x:c r="AG22" s="56" t="n">
        <x:f>IF($F$5+V22&gt;=65000,1,1-1/(1+($F$5+V22)/(60+$J$5*0.5)))</x:f>
        <x:v>0.3125</x:v>
      </x:c>
      <x:c r="AH22" s="56" t="n">
        <x:f>1-((5+$J$5*2)/(10+$J$5*2+MAX(0,$D$5+O22)))*(1/(1+MAX(0,$D$5+O22)/(90+$J$5*0.25)))</x:f>
        <x:v>0.6462865716429107</x:v>
      </x:c>
      <x:c r="AI22" s="44" t="str">
        <x:v>Skript</x:v>
      </x:c>
      <x:c r="AJ22" s="44" t="str">
        <x:v>10d4+14</x:v>
      </x:c>
    </x:row>
    <x:row r="23" ht="49" customHeight="1">
      <x:c r="A23" s="44" t="n">
        <x:v>12</x:v>
      </x:c>
      <x:c r="B23" s="44" t="str">
        <x:v>Artemis</x:v>
      </x:c>
      <x:c r="C23" s="44" t="str">
        <x:v>Bogen</x:v>
      </x:c>
      <x:c r="D23" s="44" t="str">
        <x:v>MM6</x:v>
      </x:c>
      <x:c r="E23" s="50" t="n">
        <x:f>ROUND(X23*Y23,0)</x:f>
        <x:v>601</x:v>
      </x:c>
      <x:c r="F23" s="51" t="n">
        <x:f>ROUND(($B$5+N23*$H$5+W23)/(1-(AH23/2+(AA23+AB23+AC23+AD23+AE23+AF23)/16+AG23/8)),0)</x:f>
        <x:v>3620</x:v>
      </x:c>
      <x:c r="G23" s="51" t="n">
        <x:f>F23-$B$8</x:f>
        <x:v>-222</x:v>
      </x:c>
      <x:c r="H23" s="44" t="str">
        <x:v>Nein</x:v>
      </x:c>
      <x:c r="I23" s="44" t="str">
        <x:v>−20 auf vier Elementarresistenzen vor Skalierung; schlechtere Abwehr.</x:v>
      </x:c>
      <x:c r="J23" s="44" t="str">
        <x:v>Geskripteter Luft-/Elektrizitätsschaden (+20 Basis).</x:v>
      </x:c>
      <x:c r="K23" s="44" t="str">
        <x:v>—</x:v>
      </x:c>
      <x:c r="L23" s="44" t="str">
        <x:v>Luftschaden nicht in DPS.</x:v>
      </x:c>
      <x:c r="M23" s="44" t="str">
        <x:v>https://github.com/Malekitsu/Maw-Mod-MMMerge/blob/4.5/Scripts/Global/ExtraArtifacts.lua</x:v>
      </x:c>
      <x:c r="N23" s="54" t="n">
        <x:v>0</x:v>
      </x:c>
      <x:c r="O23" s="54" t="n">
        <x:v>0</x:v>
      </x:c>
      <x:c r="P23" s="54" t="n">
        <x:v>-25</x:v>
      </x:c>
      <x:c r="Q23" s="54" t="n">
        <x:v>-25</x:v>
      </x:c>
      <x:c r="R23" s="54" t="n">
        <x:v>-25</x:v>
      </x:c>
      <x:c r="S23" s="54" t="n">
        <x:v>-25</x:v>
      </x:c>
      <x:c r="T23" s="54" t="n">
        <x:v>0</x:v>
      </x:c>
      <x:c r="U23" s="54" t="n">
        <x:v>0</x:v>
      </x:c>
      <x:c r="V23" s="54" t="n">
        <x:v>0</x:v>
      </x:c>
      <x:c r="W23" s="54" t="n">
        <x:v>0</x:v>
      </x:c>
      <x:c r="X23" s="44" t="n">
        <x:v>601</x:v>
      </x:c>
      <x:c r="Y23" s="44" t="n">
        <x:v>1</x:v>
      </x:c>
      <x:c r="Z23" s="44" t="n">
        <x:v>0</x:v>
      </x:c>
      <x:c r="AA23" s="56" t="n">
        <x:f>IF($F$5+P23&gt;=65000,1,1-1/(1+($F$5+P23)/(60+$J$5*0.5)))</x:f>
        <x:v>0.18518518518518523</x:v>
      </x:c>
      <x:c r="AB23" s="56" t="n">
        <x:f>IF($F$5+Q23&gt;=65000,1,1-1/(1+($F$5+Q23)/(60+$J$5*0.5)))</x:f>
        <x:v>0.18518518518518523</x:v>
      </x:c>
      <x:c r="AC23" s="56" t="n">
        <x:f>IF($F$5+R23&gt;=65000,1,1-1/(1+($F$5+R23)/(60+$J$5*0.5)))</x:f>
        <x:v>0.18518518518518523</x:v>
      </x:c>
      <x:c r="AD23" s="56" t="n">
        <x:f>IF($F$5+S23&gt;=65000,1,1-1/(1+($F$5+S23)/(60+$J$5*0.5)))</x:f>
        <x:v>0.18518518518518523</x:v>
      </x:c>
      <x:c r="AE23" s="56" t="n">
        <x:f>IF($F$5+T23&gt;=65000,1,1-1/(1+($F$5+T23)/(60+$J$5*0.5)))</x:f>
        <x:v>0.3125</x:v>
      </x:c>
      <x:c r="AF23" s="56" t="n">
        <x:f>IF($F$5+U23&gt;=65000,1,1-1/(1+($F$5+U23)/(60+$J$5*0.5)))</x:f>
        <x:v>0.3125</x:v>
      </x:c>
      <x:c r="AG23" s="56" t="n">
        <x:f>IF($F$5+V23&gt;=65000,1,1-1/(1+($F$5+V23)/(60+$J$5*0.5)))</x:f>
        <x:v>0.3125</x:v>
      </x:c>
      <x:c r="AH23" s="56" t="n">
        <x:f>1-((5+$J$5*2)/(10+$J$5*2+MAX(0,$D$5+O23)))*(1/(1+MAX(0,$D$5+O23)/(90+$J$5*0.25)))</x:f>
        <x:v>0.6462865716429107</x:v>
      </x:c>
      <x:c r="AI23" s="44" t="str">
        <x:v>Skript + MAW-Stats</x:v>
      </x:c>
      <x:c r="AJ23" s="44" t="str">
        <x:v>12d3+15</x:v>
      </x:c>
    </x:row>
    <x:row r="24" ht="49" customHeight="1">
      <x:c r="A24" s="44" t="n">
        <x:v>13</x:v>
      </x:c>
      <x:c r="B24" s="44" t="str">
        <x:v>Terminus</x:v>
      </x:c>
      <x:c r="C24" s="44" t="str">
        <x:v>1H-Schwert</x:v>
      </x:c>
      <x:c r="D24" s="44" t="str">
        <x:v>MM8</x:v>
      </x:c>
      <x:c r="E24" s="50" t="n">
        <x:f>ROUND(X24*Y24,0)</x:f>
        <x:v>574</x:v>
      </x:c>
      <x:c r="F24" s="51" t="n">
        <x:f>ROUND(($B$5+N24*$H$5+W24)/(1-(AH24/2+(AA24+AB24+AC24+AD24+AE24+AF24)/16+AG24/8)),0)</x:f>
        <x:v>3986</x:v>
      </x:c>
      <x:c r="G24" s="51" t="n">
        <x:f>F24-$B$8</x:f>
        <x:v>144</x:v>
      </x:c>
      <x:c r="H24" s="44" t="str">
        <x:v>Nein</x:v>
      </x:c>
      <x:c r="I24" s="44" t="str">
        <x:v>+100 Luftresistenz vor Levelskalierung.</x:v>
      </x:c>
      <x:c r="J24" s="44" t="str">
        <x:v>+7 Armsmaster (MAW Level 100 +9), steigert physischen Schaden und Angriffstempo.</x:v>
      </x:c>
      <x:c r="K24" s="44" t="str">
        <x:v>—</x:v>
      </x:c>
      <x:c r="L24" s="44" t="str">
        <x:v>Armsmaster berücksichtigt.</x:v>
      </x:c>
      <x:c r="M24" s="44" t="str">
        <x:v>https://github.com/Malekitsu/Maw-Mod-MMMerge/blob/4.5/Scripts/General/zzMaw-Items.lua</x:v>
      </x:c>
      <x:c r="N24" s="54" t="n">
        <x:v>0</x:v>
      </x:c>
      <x:c r="O24" s="54" t="n">
        <x:v>0</x:v>
      </x:c>
      <x:c r="P24" s="54" t="n">
        <x:v>0</x:v>
      </x:c>
      <x:c r="Q24" s="54" t="n">
        <x:v>125</x:v>
      </x:c>
      <x:c r="R24" s="54" t="n">
        <x:v>0</x:v>
      </x:c>
      <x:c r="S24" s="54" t="n">
        <x:v>0</x:v>
      </x:c>
      <x:c r="T24" s="54" t="n">
        <x:v>0</x:v>
      </x:c>
      <x:c r="U24" s="54" t="n">
        <x:v>0</x:v>
      </x:c>
      <x:c r="V24" s="54" t="n">
        <x:v>0</x:v>
      </x:c>
      <x:c r="W24" s="54" t="n">
        <x:v>0</x:v>
      </x:c>
      <x:c r="X24" s="44" t="n">
        <x:v>574</x:v>
      </x:c>
      <x:c r="Y24" s="44" t="n">
        <x:v>1</x:v>
      </x:c>
      <x:c r="Z24" s="44" t="n">
        <x:v>0</x:v>
      </x:c>
      <x:c r="AA24" s="56" t="n">
        <x:f>IF($F$5+P24&gt;=65000,1,1-1/(1+($F$5+P24)/(60+$J$5*0.5)))</x:f>
        <x:v>0.3125</x:v>
      </x:c>
      <x:c r="AB24" s="56" t="n">
        <x:f>IF($F$5+Q24&gt;=65000,1,1-1/(1+($F$5+Q24)/(60+$J$5*0.5)))</x:f>
        <x:v>0.6140350877192982</x:v>
      </x:c>
      <x:c r="AC24" s="56" t="n">
        <x:f>IF($F$5+R24&gt;=65000,1,1-1/(1+($F$5+R24)/(60+$J$5*0.5)))</x:f>
        <x:v>0.3125</x:v>
      </x:c>
      <x:c r="AD24" s="56" t="n">
        <x:f>IF($F$5+S24&gt;=65000,1,1-1/(1+($F$5+S24)/(60+$J$5*0.5)))</x:f>
        <x:v>0.3125</x:v>
      </x:c>
      <x:c r="AE24" s="56" t="n">
        <x:f>IF($F$5+T24&gt;=65000,1,1-1/(1+($F$5+T24)/(60+$J$5*0.5)))</x:f>
        <x:v>0.3125</x:v>
      </x:c>
      <x:c r="AF24" s="56" t="n">
        <x:f>IF($F$5+U24&gt;=65000,1,1-1/(1+($F$5+U24)/(60+$J$5*0.5)))</x:f>
        <x:v>0.3125</x:v>
      </x:c>
      <x:c r="AG24" s="56" t="n">
        <x:f>IF($F$5+V24&gt;=65000,1,1-1/(1+($F$5+V24)/(60+$J$5*0.5)))</x:f>
        <x:v>0.3125</x:v>
      </x:c>
      <x:c r="AH24" s="56" t="n">
        <x:f>1-((5+$J$5*2)/(10+$J$5*2+MAX(0,$D$5+O24)))*(1/(1+MAX(0,$D$5+O24)/(90+$J$5*0.25)))</x:f>
        <x:v>0.6462865716429107</x:v>
      </x:c>
      <x:c r="AI24" s="44" t="str">
        <x:v>MAW-Stats</x:v>
      </x:c>
      <x:c r="AJ24" s="44" t="str">
        <x:v>8d4+20</x:v>
      </x:c>
    </x:row>
    <x:row r="25" ht="49" customHeight="1">
      <x:c r="A25" s="44" t="n">
        <x:v>14</x:v>
      </x:c>
      <x:c r="B25" s="44" t="str">
        <x:v>Elderaxe</x:v>
      </x:c>
      <x:c r="C25" s="44" t="str">
        <x:v>1H-Axt</x:v>
      </x:c>
      <x:c r="D25" s="44" t="str">
        <x:v>MM8</x:v>
      </x:c>
      <x:c r="E25" s="50" t="n">
        <x:f>ROUND(X25*Y25,0)</x:f>
        <x:v>542</x:v>
      </x:c>
      <x:c r="F25" s="51" t="n">
        <x:f>ROUND(($B$5+N25*$H$5+W25)/(1-(AH25/2+(AA25+AB25+AC25+AD25+AE25+AF25)/16+AG25/8)),0)</x:f>
        <x:v>3842</x:v>
      </x:c>
      <x:c r="G25" s="51" t="n">
        <x:f>F25-$B$8</x:f>
        <x:v>0</x:v>
      </x:c>
      <x:c r="H25" s="44" t="str">
        <x:v>Nein</x:v>
      </x:c>
      <x:c r="I25" s="44" t="str">
        <x:v>+100 Might vor Levelskalierung.</x:v>
      </x:c>
      <x:c r="J25" s="44" t="str">
        <x:v>Kälteschaden pro Treffer, Swift laut Itemtext; Swift-Auswirkung auf Recovery nicht separat bestätigt.</x:v>
      </x:c>
      <x:c r="K25" s="44" t="str">
        <x:v>Nur Minotauren (ExtraArtifacts).</x:v>
      </x:c>
      <x:c r="L25" s="44" t="str">
        <x:v>Kälte und Swift nicht in DPS.</x:v>
      </x:c>
      <x:c r="M25" s="44" t="str">
        <x:v>https://github.com/Malekitsu/Maw-Mod-MMMerge/blob/4.5/Scripts/General/zzMaw-Items.lua</x:v>
      </x:c>
      <x:c r="N25" s="54" t="n">
        <x:v>0</x:v>
      </x:c>
      <x:c r="O25" s="54" t="n">
        <x:v>0</x:v>
      </x:c>
      <x:c r="P25" s="54" t="n">
        <x:v>0</x:v>
      </x:c>
      <x:c r="Q25" s="54" t="n">
        <x:v>0</x:v>
      </x:c>
      <x:c r="R25" s="54" t="n">
        <x:v>0</x:v>
      </x:c>
      <x:c r="S25" s="54" t="n">
        <x:v>0</x:v>
      </x:c>
      <x:c r="T25" s="54" t="n">
        <x:v>0</x:v>
      </x:c>
      <x:c r="U25" s="54" t="n">
        <x:v>0</x:v>
      </x:c>
      <x:c r="V25" s="54" t="n">
        <x:v>0</x:v>
      </x:c>
      <x:c r="W25" s="54" t="n">
        <x:v>0</x:v>
      </x:c>
      <x:c r="X25" s="44" t="n">
        <x:v>542</x:v>
      </x:c>
      <x:c r="Y25" s="44" t="n">
        <x:v>1</x:v>
      </x:c>
      <x:c r="Z25" s="44" t="n">
        <x:v>0</x:v>
      </x:c>
      <x:c r="AA25" s="56" t="n">
        <x:f>IF($F$5+P25&gt;=65000,1,1-1/(1+($F$5+P25)/(60+$J$5*0.5)))</x:f>
        <x:v>0.3125</x:v>
      </x:c>
      <x:c r="AB25" s="56" t="n">
        <x:f>IF($F$5+Q25&gt;=65000,1,1-1/(1+($F$5+Q25)/(60+$J$5*0.5)))</x:f>
        <x:v>0.3125</x:v>
      </x:c>
      <x:c r="AC25" s="56" t="n">
        <x:f>IF($F$5+R25&gt;=65000,1,1-1/(1+($F$5+R25)/(60+$J$5*0.5)))</x:f>
        <x:v>0.3125</x:v>
      </x:c>
      <x:c r="AD25" s="56" t="n">
        <x:f>IF($F$5+S25&gt;=65000,1,1-1/(1+($F$5+S25)/(60+$J$5*0.5)))</x:f>
        <x:v>0.3125</x:v>
      </x:c>
      <x:c r="AE25" s="56" t="n">
        <x:f>IF($F$5+T25&gt;=65000,1,1-1/(1+($F$5+T25)/(60+$J$5*0.5)))</x:f>
        <x:v>0.3125</x:v>
      </x:c>
      <x:c r="AF25" s="56" t="n">
        <x:f>IF($F$5+U25&gt;=65000,1,1-1/(1+($F$5+U25)/(60+$J$5*0.5)))</x:f>
        <x:v>0.3125</x:v>
      </x:c>
      <x:c r="AG25" s="56" t="n">
        <x:f>IF($F$5+V25&gt;=65000,1,1-1/(1+($F$5+V25)/(60+$J$5*0.5)))</x:f>
        <x:v>0.3125</x:v>
      </x:c>
      <x:c r="AH25" s="56" t="n">
        <x:f>1-((5+$J$5*2)/(10+$J$5*2+MAX(0,$D$5+O25)))*(1/(1+MAX(0,$D$5+O25)/(90+$J$5*0.25)))</x:f>
        <x:v>0.6462865716429107</x:v>
      </x:c>
      <x:c r="AI25" s="44" t="str">
        <x:v>Text + MAW-Stats</x:v>
      </x:c>
      <x:c r="AJ25" s="44" t="str">
        <x:v>8d6+16</x:v>
      </x:c>
    </x:row>
    <x:row r="26" ht="49" customHeight="1">
      <x:c r="A26" s="44" t="n">
        <x:v>15</x:v>
      </x:c>
      <x:c r="B26" s="44" t="str">
        <x:v>Hell's Cleaver</x:v>
      </x:c>
      <x:c r="C26" s="44" t="str">
        <x:v>1H-Axt</x:v>
      </x:c>
      <x:c r="D26" s="44" t="str">
        <x:v>MM8</x:v>
      </x:c>
      <x:c r="E26" s="50" t="n">
        <x:f>ROUND(X26*Y26,0)</x:f>
        <x:v>542</x:v>
      </x:c>
      <x:c r="F26" s="51" t="n">
        <x:f>ROUND(($B$5+N26*$H$5+W26)/(1-(AH26/2+(AA26+AB26+AC26+AD26+AE26+AF26)/16+AG26/8)),0)</x:f>
        <x:v>3842</x:v>
      </x:c>
      <x:c r="G26" s="51" t="n">
        <x:f>F26-$B$8</x:f>
        <x:v>0</x:v>
      </x:c>
      <x:c r="H26" s="44" t="str">
        <x:v>Nein</x:v>
      </x:c>
      <x:c r="I26" s="44" t="str">
        <x:v>+70 Might, +70 Accuracy, +50 Intellect/Personality im MAW-Code (Itemtext weicht bei Vorzeichen ab).</x:v>
      </x:c>
      <x:c r="J26" s="44" t="str">
        <x:v>Hohe Might-/Accuracy-Boni statt direktem Trefferproc.</x:v>
      </x:c>
      <x:c r="K26" s="44" t="str">
        <x:v>—</x:v>
      </x:c>
      <x:c r="L26" s="44" t="str">
        <x:v>Keine externen Schadenseffekte enthalten.</x:v>
      </x:c>
      <x:c r="M26" s="44" t="str">
        <x:v>https://github.com/Malekitsu/Maw-Mod-MMMerge/blob/4.5/Scripts/General/zzMaw-Items.lua</x:v>
      </x:c>
      <x:c r="N26" s="54" t="n">
        <x:v>0</x:v>
      </x:c>
      <x:c r="O26" s="54" t="n">
        <x:v>0</x:v>
      </x:c>
      <x:c r="P26" s="54" t="n">
        <x:v>0</x:v>
      </x:c>
      <x:c r="Q26" s="54" t="n">
        <x:v>0</x:v>
      </x:c>
      <x:c r="R26" s="54" t="n">
        <x:v>0</x:v>
      </x:c>
      <x:c r="S26" s="54" t="n">
        <x:v>0</x:v>
      </x:c>
      <x:c r="T26" s="54" t="n">
        <x:v>0</x:v>
      </x:c>
      <x:c r="U26" s="54" t="n">
        <x:v>0</x:v>
      </x:c>
      <x:c r="V26" s="54" t="n">
        <x:v>0</x:v>
      </x:c>
      <x:c r="W26" s="54" t="n">
        <x:v>0</x:v>
      </x:c>
      <x:c r="X26" s="44" t="n">
        <x:v>542</x:v>
      </x:c>
      <x:c r="Y26" s="44" t="n">
        <x:v>1</x:v>
      </x:c>
      <x:c r="Z26" s="44" t="n">
        <x:v>0</x:v>
      </x:c>
      <x:c r="AA26" s="56" t="n">
        <x:f>IF($F$5+P26&gt;=65000,1,1-1/(1+($F$5+P26)/(60+$J$5*0.5)))</x:f>
        <x:v>0.3125</x:v>
      </x:c>
      <x:c r="AB26" s="56" t="n">
        <x:f>IF($F$5+Q26&gt;=65000,1,1-1/(1+($F$5+Q26)/(60+$J$5*0.5)))</x:f>
        <x:v>0.3125</x:v>
      </x:c>
      <x:c r="AC26" s="56" t="n">
        <x:f>IF($F$5+R26&gt;=65000,1,1-1/(1+($F$5+R26)/(60+$J$5*0.5)))</x:f>
        <x:v>0.3125</x:v>
      </x:c>
      <x:c r="AD26" s="56" t="n">
        <x:f>IF($F$5+S26&gt;=65000,1,1-1/(1+($F$5+S26)/(60+$J$5*0.5)))</x:f>
        <x:v>0.3125</x:v>
      </x:c>
      <x:c r="AE26" s="56" t="n">
        <x:f>IF($F$5+T26&gt;=65000,1,1-1/(1+($F$5+T26)/(60+$J$5*0.5)))</x:f>
        <x:v>0.3125</x:v>
      </x:c>
      <x:c r="AF26" s="56" t="n">
        <x:f>IF($F$5+U26&gt;=65000,1,1-1/(1+($F$5+U26)/(60+$J$5*0.5)))</x:f>
        <x:v>0.3125</x:v>
      </x:c>
      <x:c r="AG26" s="56" t="n">
        <x:f>IF($F$5+V26&gt;=65000,1,1-1/(1+($F$5+V26)/(60+$J$5*0.5)))</x:f>
        <x:v>0.3125</x:v>
      </x:c>
      <x:c r="AH26" s="56" t="n">
        <x:f>1-((5+$J$5*2)/(10+$J$5*2+MAX(0,$D$5+O26)))*(1/(1+MAX(0,$D$5+O26)/(90+$J$5*0.25)))</x:f>
        <x:v>0.6462865716429107</x:v>
      </x:c>
      <x:c r="AI26" s="44" t="str">
        <x:v>MAW-Stats; Textkonflikt</x:v>
      </x:c>
      <x:c r="AJ26" s="44" t="str">
        <x:v>8d4+24</x:v>
      </x:c>
    </x:row>
    <x:row r="27" ht="49" customHeight="1">
      <x:c r="A27" s="44" t="n">
        <x:v>16</x:v>
      </x:c>
      <x:c r="B27" s="44" t="str">
        <x:v>Blade of Mercy</x:v>
      </x:c>
      <x:c r="C27" s="44" t="str">
        <x:v>Dolch</x:v>
      </x:c>
      <x:c r="D27" s="44" t="str">
        <x:v>MM8</x:v>
      </x:c>
      <x:c r="E27" s="50" t="n">
        <x:f>ROUND(X27*Y27,0)</x:f>
        <x:v>511</x:v>
      </x:c>
      <x:c r="F27" s="51" t="n">
        <x:f>ROUND(($B$5+N27*$H$5+W27)/(1-(AH27/2+(AA27+AB27+AC27+AD27+AE27+AF27)/16+AG27/8)),0)</x:f>
        <x:v>3842</x:v>
      </x:c>
      <x:c r="G27" s="51" t="n">
        <x:f>F27-$B$8</x:f>
        <x:v>0</x:v>
      </x:c>
      <x:c r="H27" s="44" t="str">
        <x:v>Nein</x:v>
      </x:c>
      <x:c r="I27" s="44" t="str">
        <x:v>+100 Might, +100 Accuracy vor Skalierung; Itemtext weicht teils ab.</x:v>
      </x:c>
      <x:c r="J27" s="44" t="str">
        <x:v>Elektrizitätsschaden pro Treffer; besonders hohe Might-/Accuracy-Boni im MAW-Code.</x:v>
      </x:c>
      <x:c r="K27" s="44" t="str">
        <x:v>Nur Necromancer-/Lich-Klassen (ExtraArtifacts).</x:v>
      </x:c>
      <x:c r="L27" s="44" t="str">
        <x:v>Elektrizität nicht in DPS.</x:v>
      </x:c>
      <x:c r="M27" s="44" t="str">
        <x:v>https://github.com/Malekitsu/Maw-Mod-MMMerge/blob/4.5/Scripts/Global/ExtraArtifacts.lua</x:v>
      </x:c>
      <x:c r="N27" s="54" t="n">
        <x:v>0</x:v>
      </x:c>
      <x:c r="O27" s="54" t="n">
        <x:v>0</x:v>
      </x:c>
      <x:c r="P27" s="54" t="n">
        <x:v>0</x:v>
      </x:c>
      <x:c r="Q27" s="54" t="n">
        <x:v>0</x:v>
      </x:c>
      <x:c r="R27" s="54" t="n">
        <x:v>0</x:v>
      </x:c>
      <x:c r="S27" s="54" t="n">
        <x:v>0</x:v>
      </x:c>
      <x:c r="T27" s="54" t="n">
        <x:v>0</x:v>
      </x:c>
      <x:c r="U27" s="54" t="n">
        <x:v>0</x:v>
      </x:c>
      <x:c r="V27" s="54" t="n">
        <x:v>0</x:v>
      </x:c>
      <x:c r="W27" s="54" t="n">
        <x:v>0</x:v>
      </x:c>
      <x:c r="X27" s="44" t="n">
        <x:v>511</x:v>
      </x:c>
      <x:c r="Y27" s="44" t="n">
        <x:v>1</x:v>
      </x:c>
      <x:c r="Z27" s="44" t="n">
        <x:v>0</x:v>
      </x:c>
      <x:c r="AA27" s="56" t="n">
        <x:f>IF($F$5+P27&gt;=65000,1,1-1/(1+($F$5+P27)/(60+$J$5*0.5)))</x:f>
        <x:v>0.3125</x:v>
      </x:c>
      <x:c r="AB27" s="56" t="n">
        <x:f>IF($F$5+Q27&gt;=65000,1,1-1/(1+($F$5+Q27)/(60+$J$5*0.5)))</x:f>
        <x:v>0.3125</x:v>
      </x:c>
      <x:c r="AC27" s="56" t="n">
        <x:f>IF($F$5+R27&gt;=65000,1,1-1/(1+($F$5+R27)/(60+$J$5*0.5)))</x:f>
        <x:v>0.3125</x:v>
      </x:c>
      <x:c r="AD27" s="56" t="n">
        <x:f>IF($F$5+S27&gt;=65000,1,1-1/(1+($F$5+S27)/(60+$J$5*0.5)))</x:f>
        <x:v>0.3125</x:v>
      </x:c>
      <x:c r="AE27" s="56" t="n">
        <x:f>IF($F$5+T27&gt;=65000,1,1-1/(1+($F$5+T27)/(60+$J$5*0.5)))</x:f>
        <x:v>0.3125</x:v>
      </x:c>
      <x:c r="AF27" s="56" t="n">
        <x:f>IF($F$5+U27&gt;=65000,1,1-1/(1+($F$5+U27)/(60+$J$5*0.5)))</x:f>
        <x:v>0.3125</x:v>
      </x:c>
      <x:c r="AG27" s="56" t="n">
        <x:f>IF($F$5+V27&gt;=65000,1,1-1/(1+($F$5+V27)/(60+$J$5*0.5)))</x:f>
        <x:v>0.3125</x:v>
      </x:c>
      <x:c r="AH27" s="56" t="n">
        <x:f>1-((5+$J$5*2)/(10+$J$5*2+MAX(0,$D$5+O27)))*(1/(1+MAX(0,$D$5+O27)/(90+$J$5*0.25)))</x:f>
        <x:v>0.6462865716429107</x:v>
      </x:c>
      <x:c r="AI27" s="44" t="str">
        <x:v>Skript + MAW-Stats</x:v>
      </x:c>
      <x:c r="AJ27" s="44" t="str">
        <x:v>8d3+15</x:v>
      </x:c>
    </x:row>
    <x:row r="28" ht="49" customHeight="1">
      <x:c r="A28" s="44" t="n">
        <x:v>17</x:v>
      </x:c>
      <x:c r="B28" s="44" t="str">
        <x:v>Excalibur</x:v>
      </x:c>
      <x:c r="C28" s="44" t="str">
        <x:v>1H-Schwert</x:v>
      </x:c>
      <x:c r="D28" s="44" t="str">
        <x:v>MM6</x:v>
      </x:c>
      <x:c r="E28" s="50" t="n">
        <x:f>ROUND(X28*Y28,0)</x:f>
        <x:v>498</x:v>
      </x:c>
      <x:c r="F28" s="51" t="n">
        <x:f>ROUND(($B$5+N28*$H$5+W28)/(1-(AH28/2+(AA28+AB28+AC28+AD28+AE28+AF28)/16+AG28/8)),0)</x:f>
        <x:v>3842</x:v>
      </x:c>
      <x:c r="G28" s="51" t="n">
        <x:f>F28-$B$8</x:f>
        <x:v>0</x:v>
      </x:c>
      <x:c r="H28" s="44" t="str">
        <x:v>Nein</x:v>
      </x:c>
      <x:c r="I28" s="44" t="str">
        <x:v>+100 Might vor Levelskalierung; Bless nicht in Vitality.</x:v>
      </x:c>
      <x:c r="J28" s="44" t="str">
        <x:v>Geskripteter zusätzlicher Trefferschaden (10 Basis); doppelter Schaden gegen Drachen; Bless-Buff.</x:v>
      </x:c>
      <x:c r="K28" s="44" t="str">
        <x:v>—</x:v>
      </x:c>
      <x:c r="L28" s="44" t="str">
        <x:v>Slayer, Trefferbonus und Bless nicht in DPS.</x:v>
      </x:c>
      <x:c r="M28" s="44" t="str">
        <x:v>https://github.com/Malekitsu/Maw-Mod-MMMerge/blob/4.5/Scripts/Global/ExtraArtifacts.lua</x:v>
      </x:c>
      <x:c r="N28" s="54" t="n">
        <x:v>0</x:v>
      </x:c>
      <x:c r="O28" s="54" t="n">
        <x:v>0</x:v>
      </x:c>
      <x:c r="P28" s="54" t="n">
        <x:v>0</x:v>
      </x:c>
      <x:c r="Q28" s="54" t="n">
        <x:v>0</x:v>
      </x:c>
      <x:c r="R28" s="54" t="n">
        <x:v>0</x:v>
      </x:c>
      <x:c r="S28" s="54" t="n">
        <x:v>0</x:v>
      </x:c>
      <x:c r="T28" s="54" t="n">
        <x:v>0</x:v>
      </x:c>
      <x:c r="U28" s="54" t="n">
        <x:v>0</x:v>
      </x:c>
      <x:c r="V28" s="54" t="n">
        <x:v>0</x:v>
      </x:c>
      <x:c r="W28" s="54" t="n">
        <x:v>0</x:v>
      </x:c>
      <x:c r="X28" s="44" t="n">
        <x:v>498</x:v>
      </x:c>
      <x:c r="Y28" s="44" t="n">
        <x:v>1</x:v>
      </x:c>
      <x:c r="Z28" s="44" t="n">
        <x:v>0</x:v>
      </x:c>
      <x:c r="AA28" s="56" t="n">
        <x:f>IF($F$5+P28&gt;=65000,1,1-1/(1+($F$5+P28)/(60+$J$5*0.5)))</x:f>
        <x:v>0.3125</x:v>
      </x:c>
      <x:c r="AB28" s="56" t="n">
        <x:f>IF($F$5+Q28&gt;=65000,1,1-1/(1+($F$5+Q28)/(60+$J$5*0.5)))</x:f>
        <x:v>0.3125</x:v>
      </x:c>
      <x:c r="AC28" s="56" t="n">
        <x:f>IF($F$5+R28&gt;=65000,1,1-1/(1+($F$5+R28)/(60+$J$5*0.5)))</x:f>
        <x:v>0.3125</x:v>
      </x:c>
      <x:c r="AD28" s="56" t="n">
        <x:f>IF($F$5+S28&gt;=65000,1,1-1/(1+($F$5+S28)/(60+$J$5*0.5)))</x:f>
        <x:v>0.3125</x:v>
      </x:c>
      <x:c r="AE28" s="56" t="n">
        <x:f>IF($F$5+T28&gt;=65000,1,1-1/(1+($F$5+T28)/(60+$J$5*0.5)))</x:f>
        <x:v>0.3125</x:v>
      </x:c>
      <x:c r="AF28" s="56" t="n">
        <x:f>IF($F$5+U28&gt;=65000,1,1-1/(1+($F$5+U28)/(60+$J$5*0.5)))</x:f>
        <x:v>0.3125</x:v>
      </x:c>
      <x:c r="AG28" s="56" t="n">
        <x:f>IF($F$5+V28&gt;=65000,1,1-1/(1+($F$5+V28)/(60+$J$5*0.5)))</x:f>
        <x:v>0.3125</x:v>
      </x:c>
      <x:c r="AH28" s="56" t="n">
        <x:f>1-((5+$J$5*2)/(10+$J$5*2+MAX(0,$D$5+O28)))*(1/(1+MAX(0,$D$5+O28)/(90+$J$5*0.25)))</x:f>
        <x:v>0.6462865716429107</x:v>
      </x:c>
      <x:c r="AI28" s="44" t="str">
        <x:v>Skript</x:v>
      </x:c>
      <x:c r="AJ28" s="44" t="str">
        <x:v>8d5+15</x:v>
      </x:c>
    </x:row>
    <x:row r="29" ht="49" customHeight="1">
      <x:c r="A29" s="44" t="n">
        <x:v>18</x:v>
      </x:c>
      <x:c r="B29" s="44" t="str">
        <x:v>Mordred</x:v>
      </x:c>
      <x:c r="C29" s="44" t="str">
        <x:v>Dolch</x:v>
      </x:c>
      <x:c r="D29" s="44" t="str">
        <x:v>MM6</x:v>
      </x:c>
      <x:c r="E29" s="50" t="n">
        <x:f>ROUND(X29*Y29,0)</x:f>
        <x:v>490</x:v>
      </x:c>
      <x:c r="F29" s="51" t="n">
        <x:f>ROUND(($B$5+N29*$H$5+W29)/(1-(AH29/2+(AA29+AB29+AC29+AD29+AE29+AF29)/16+AG29/8)),0)</x:f>
        <x:v>3842</x:v>
      </x:c>
      <x:c r="G29" s="51" t="n">
        <x:f>F29-$B$8</x:f>
        <x:v>0</x:v>
      </x:c>
      <x:c r="H29" s="44" t="str">
        <x:v>Ja: geskriptet</x:v>
      </x:c>
      <x:c r="I29" s="44" t="str">
        <x:v>Potenzielle Selbstheilung; genaue Heilrate ohne konkreten Kampf nicht bestimmbar.</x:v>
      </x:c>
      <x:c r="J29" s="44" t="str">
        <x:v>Vampiric in ExtraArtifacts explizit als On-Hit-Effekt aktiviert.</x:v>
      </x:c>
      <x:c r="K29" s="44" t="str">
        <x:v>—</x:v>
      </x:c>
      <x:c r="L29" s="44" t="str">
        <x:v>Lifeleech nicht in Vitality/DPS.</x:v>
      </x:c>
      <x:c r="M29" s="44" t="str">
        <x:v>https://github.com/Malekitsu/Maw-Mod-MMMerge/blob/4.5/Scripts/Global/ExtraArtifacts.lua</x:v>
      </x:c>
      <x:c r="N29" s="54" t="n">
        <x:v>0</x:v>
      </x:c>
      <x:c r="O29" s="54" t="n">
        <x:v>0</x:v>
      </x:c>
      <x:c r="P29" s="54" t="n">
        <x:v>0</x:v>
      </x:c>
      <x:c r="Q29" s="54" t="n">
        <x:v>0</x:v>
      </x:c>
      <x:c r="R29" s="54" t="n">
        <x:v>0</x:v>
      </x:c>
      <x:c r="S29" s="54" t="n">
        <x:v>0</x:v>
      </x:c>
      <x:c r="T29" s="54" t="n">
        <x:v>0</x:v>
      </x:c>
      <x:c r="U29" s="54" t="n">
        <x:v>0</x:v>
      </x:c>
      <x:c r="V29" s="54" t="n">
        <x:v>0</x:v>
      </x:c>
      <x:c r="W29" s="54" t="n">
        <x:v>0</x:v>
      </x:c>
      <x:c r="X29" s="44" t="n">
        <x:v>490</x:v>
      </x:c>
      <x:c r="Y29" s="44" t="n">
        <x:v>1</x:v>
      </x:c>
      <x:c r="Z29" s="44" t="n">
        <x:v>0</x:v>
      </x:c>
      <x:c r="AA29" s="56" t="n">
        <x:f>IF($F$5+P29&gt;=65000,1,1-1/(1+($F$5+P29)/(60+$J$5*0.5)))</x:f>
        <x:v>0.3125</x:v>
      </x:c>
      <x:c r="AB29" s="56" t="n">
        <x:f>IF($F$5+Q29&gt;=65000,1,1-1/(1+($F$5+Q29)/(60+$J$5*0.5)))</x:f>
        <x:v>0.3125</x:v>
      </x:c>
      <x:c r="AC29" s="56" t="n">
        <x:f>IF($F$5+R29&gt;=65000,1,1-1/(1+($F$5+R29)/(60+$J$5*0.5)))</x:f>
        <x:v>0.3125</x:v>
      </x:c>
      <x:c r="AD29" s="56" t="n">
        <x:f>IF($F$5+S29&gt;=65000,1,1-1/(1+($F$5+S29)/(60+$J$5*0.5)))</x:f>
        <x:v>0.3125</x:v>
      </x:c>
      <x:c r="AE29" s="56" t="n">
        <x:f>IF($F$5+T29&gt;=65000,1,1-1/(1+($F$5+T29)/(60+$J$5*0.5)))</x:f>
        <x:v>0.3125</x:v>
      </x:c>
      <x:c r="AF29" s="56" t="n">
        <x:f>IF($F$5+U29&gt;=65000,1,1-1/(1+($F$5+U29)/(60+$J$5*0.5)))</x:f>
        <x:v>0.3125</x:v>
      </x:c>
      <x:c r="AG29" s="56" t="n">
        <x:f>IF($F$5+V29&gt;=65000,1,1-1/(1+($F$5+V29)/(60+$J$5*0.5)))</x:f>
        <x:v>0.3125</x:v>
      </x:c>
      <x:c r="AH29" s="56" t="n">
        <x:f>1-((5+$J$5*2)/(10+$J$5*2+MAX(0,$D$5+O29)))*(1/(1+MAX(0,$D$5+O29)/(90+$J$5*0.25)))</x:f>
        <x:v>0.6462865716429107</x:v>
      </x:c>
      <x:c r="AI29" s="44" t="str">
        <x:v>Skript</x:v>
      </x:c>
      <x:c r="AJ29" s="44" t="str">
        <x:v>8d5+20</x:v>
      </x:c>
    </x:row>
    <x:row r="30" ht="49" customHeight="1">
      <x:c r="A30" s="44" t="n">
        <x:v>19</x:v>
      </x:c>
      <x:c r="B30" s="44" t="str">
        <x:v>Glomenthal</x:v>
      </x:c>
      <x:c r="C30" s="44" t="str">
        <x:v>1H-Schwert</x:v>
      </x:c>
      <x:c r="D30" s="44" t="str">
        <x:v>MM8</x:v>
      </x:c>
      <x:c r="E30" s="50" t="n">
        <x:f>ROUND(X30*Y30,0)</x:f>
        <x:v>489</x:v>
      </x:c>
      <x:c r="F30" s="51" t="n">
        <x:f>ROUND(($B$5+N30*$H$5+W30)/(1-(AH30/2+(AA30+AB30+AC30+AD30+AE30+AF30)/16+AG30/8)),0)</x:f>
        <x:v>3842</x:v>
      </x:c>
      <x:c r="G30" s="51" t="n">
        <x:f>F30-$B$8</x:f>
        <x:v>0</x:v>
      </x:c>
      <x:c r="H30" s="44" t="str">
        <x:v>Nein</x:v>
      </x:c>
      <x:c r="I30" s="44" t="str">
        <x:v>+60 Might vor Levelskalierung.</x:v>
      </x:c>
      <x:c r="J30" s="44" t="str">
        <x:v>Dunkelschaden pro Treffer; effektiv gegen Gegner ohne Dunkelresistenz.</x:v>
      </x:c>
      <x:c r="K30" s="44" t="str">
        <x:v>—</x:v>
      </x:c>
      <x:c r="L30" s="44" t="str">
        <x:v>Dunkelschaden nicht enthalten.</x:v>
      </x:c>
      <x:c r="M30" s="44" t="str">
        <x:v>https://github.com/Malekitsu/Maw-Mod-MMMerge/blob/4.5/Scripts/General/zzMaw-Items.lua</x:v>
      </x:c>
      <x:c r="N30" s="54" t="n">
        <x:v>0</x:v>
      </x:c>
      <x:c r="O30" s="54" t="n">
        <x:v>0</x:v>
      </x:c>
      <x:c r="P30" s="54" t="n">
        <x:v>0</x:v>
      </x:c>
      <x:c r="Q30" s="54" t="n">
        <x:v>0</x:v>
      </x:c>
      <x:c r="R30" s="54" t="n">
        <x:v>0</x:v>
      </x:c>
      <x:c r="S30" s="54" t="n">
        <x:v>0</x:v>
      </x:c>
      <x:c r="T30" s="54" t="n">
        <x:v>0</x:v>
      </x:c>
      <x:c r="U30" s="54" t="n">
        <x:v>0</x:v>
      </x:c>
      <x:c r="V30" s="54" t="n">
        <x:v>0</x:v>
      </x:c>
      <x:c r="W30" s="54" t="n">
        <x:v>0</x:v>
      </x:c>
      <x:c r="X30" s="44" t="n">
        <x:v>489</x:v>
      </x:c>
      <x:c r="Y30" s="44" t="n">
        <x:v>1</x:v>
      </x:c>
      <x:c r="Z30" s="44" t="n">
        <x:v>0</x:v>
      </x:c>
      <x:c r="AA30" s="56" t="n">
        <x:f>IF($F$5+P30&gt;=65000,1,1-1/(1+($F$5+P30)/(60+$J$5*0.5)))</x:f>
        <x:v>0.3125</x:v>
      </x:c>
      <x:c r="AB30" s="56" t="n">
        <x:f>IF($F$5+Q30&gt;=65000,1,1-1/(1+($F$5+Q30)/(60+$J$5*0.5)))</x:f>
        <x:v>0.3125</x:v>
      </x:c>
      <x:c r="AC30" s="56" t="n">
        <x:f>IF($F$5+R30&gt;=65000,1,1-1/(1+($F$5+R30)/(60+$J$5*0.5)))</x:f>
        <x:v>0.3125</x:v>
      </x:c>
      <x:c r="AD30" s="56" t="n">
        <x:f>IF($F$5+S30&gt;=65000,1,1-1/(1+($F$5+S30)/(60+$J$5*0.5)))</x:f>
        <x:v>0.3125</x:v>
      </x:c>
      <x:c r="AE30" s="56" t="n">
        <x:f>IF($F$5+T30&gt;=65000,1,1-1/(1+($F$5+T30)/(60+$J$5*0.5)))</x:f>
        <x:v>0.3125</x:v>
      </x:c>
      <x:c r="AF30" s="56" t="n">
        <x:f>IF($F$5+U30&gt;=65000,1,1-1/(1+($F$5+U30)/(60+$J$5*0.5)))</x:f>
        <x:v>0.3125</x:v>
      </x:c>
      <x:c r="AG30" s="56" t="n">
        <x:f>IF($F$5+V30&gt;=65000,1,1-1/(1+($F$5+V30)/(60+$J$5*0.5)))</x:f>
        <x:v>0.3125</x:v>
      </x:c>
      <x:c r="AH30" s="56" t="n">
        <x:f>1-((5+$J$5*2)/(10+$J$5*2+MAX(0,$D$5+O30)))*(1/(1+MAX(0,$D$5+O30)/(90+$J$5*0.25)))</x:f>
        <x:v>0.6462865716429107</x:v>
      </x:c>
      <x:c r="AI30" s="44" t="str">
        <x:v>Text + MAW-Stats</x:v>
      </x:c>
      <x:c r="AJ30" s="44" t="str">
        <x:v>8d4+20</x:v>
      </x:c>
    </x:row>
    <x:row r="31" ht="49" customHeight="1">
      <x:c r="A31" s="44" t="n">
        <x:v>20</x:v>
      </x:c>
      <x:c r="B31" s="44" t="str">
        <x:v>Corsair</x:v>
      </x:c>
      <x:c r="C31" s="44" t="str">
        <x:v>1H-Schwert</x:v>
      </x:c>
      <x:c r="D31" s="44" t="str">
        <x:v>MM7</x:v>
      </x:c>
      <x:c r="E31" s="50" t="n">
        <x:f>ROUND(X31*Y31,0)</x:f>
        <x:v>472</x:v>
      </x:c>
      <x:c r="F31" s="51" t="n">
        <x:f>ROUND(($B$5+N31*$H$5+W31)/(1-(AH31/2+(AA31+AB31+AC31+AD31+AE31+AF31)/16+AG31/8)),0)</x:f>
        <x:v>3842</x:v>
      </x:c>
      <x:c r="G31" s="51" t="n">
        <x:f>F31-$B$8</x:f>
        <x:v>0</x:v>
      </x:c>
      <x:c r="H31" s="44" t="str">
        <x:v>Nein</x:v>
      </x:c>
      <x:c r="I31" s="44" t="str">
        <x:v>+80 Luck vor Levelskalierung; begünstigt Kritchance.</x:v>
      </x:c>
      <x:c r="J31" s="44" t="str">
        <x:v>Stealing/Disarm-Boni statt unmittelbarer Schadensprocs.</x:v>
      </x:c>
      <x:c r="K31" s="44" t="str">
        <x:v>—</x:v>
      </x:c>
      <x:c r="L31" s="44" t="str">
        <x:v>Luck-Krit im Modell eingerechnet.</x:v>
      </x:c>
      <x:c r="M31" s="44" t="str">
        <x:v>https://github.com/Malekitsu/Maw-Mod-MMMerge/blob/4.5/Scripts/General/zzMaw-Items.lua</x:v>
      </x:c>
      <x:c r="N31" s="54" t="n">
        <x:v>0</x:v>
      </x:c>
      <x:c r="O31" s="54" t="n">
        <x:v>0</x:v>
      </x:c>
      <x:c r="P31" s="54" t="n">
        <x:v>0</x:v>
      </x:c>
      <x:c r="Q31" s="54" t="n">
        <x:v>0</x:v>
      </x:c>
      <x:c r="R31" s="54" t="n">
        <x:v>0</x:v>
      </x:c>
      <x:c r="S31" s="54" t="n">
        <x:v>0</x:v>
      </x:c>
      <x:c r="T31" s="54" t="n">
        <x:v>0</x:v>
      </x:c>
      <x:c r="U31" s="54" t="n">
        <x:v>0</x:v>
      </x:c>
      <x:c r="V31" s="54" t="n">
        <x:v>0</x:v>
      </x:c>
      <x:c r="W31" s="54" t="n">
        <x:v>0</x:v>
      </x:c>
      <x:c r="X31" s="44" t="n">
        <x:v>472</x:v>
      </x:c>
      <x:c r="Y31" s="44" t="n">
        <x:v>1</x:v>
      </x:c>
      <x:c r="Z31" s="44" t="n">
        <x:v>0</x:v>
      </x:c>
      <x:c r="AA31" s="56" t="n">
        <x:f>IF($F$5+P31&gt;=65000,1,1-1/(1+($F$5+P31)/(60+$J$5*0.5)))</x:f>
        <x:v>0.3125</x:v>
      </x:c>
      <x:c r="AB31" s="56" t="n">
        <x:f>IF($F$5+Q31&gt;=65000,1,1-1/(1+($F$5+Q31)/(60+$J$5*0.5)))</x:f>
        <x:v>0.3125</x:v>
      </x:c>
      <x:c r="AC31" s="56" t="n">
        <x:f>IF($F$5+R31&gt;=65000,1,1-1/(1+($F$5+R31)/(60+$J$5*0.5)))</x:f>
        <x:v>0.3125</x:v>
      </x:c>
      <x:c r="AD31" s="56" t="n">
        <x:f>IF($F$5+S31&gt;=65000,1,1-1/(1+($F$5+S31)/(60+$J$5*0.5)))</x:f>
        <x:v>0.3125</x:v>
      </x:c>
      <x:c r="AE31" s="56" t="n">
        <x:f>IF($F$5+T31&gt;=65000,1,1-1/(1+($F$5+T31)/(60+$J$5*0.5)))</x:f>
        <x:v>0.3125</x:v>
      </x:c>
      <x:c r="AF31" s="56" t="n">
        <x:f>IF($F$5+U31&gt;=65000,1,1-1/(1+($F$5+U31)/(60+$J$5*0.5)))</x:f>
        <x:v>0.3125</x:v>
      </x:c>
      <x:c r="AG31" s="56" t="n">
        <x:f>IF($F$5+V31&gt;=65000,1,1-1/(1+($F$5+V31)/(60+$J$5*0.5)))</x:f>
        <x:v>0.3125</x:v>
      </x:c>
      <x:c r="AH31" s="56" t="n">
        <x:f>1-((5+$J$5*2)/(10+$J$5*2+MAX(0,$D$5+O31)))*(1/(1+MAX(0,$D$5+O31)/(90+$J$5*0.25)))</x:f>
        <x:v>0.6462865716429107</x:v>
      </x:c>
      <x:c r="AI31" s="44" t="str">
        <x:v>MAW-Stats</x:v>
      </x:c>
      <x:c r="AJ31" s="44" t="str">
        <x:v>8d5+16</x:v>
      </x:c>
    </x:row>
    <x:row r="32" ht="49" customHeight="1">
      <x:c r="A32" s="44" t="n">
        <x:v>21</x:v>
      </x:c>
      <x:c r="B32" s="44" t="str">
        <x:v>Elsenrail</x:v>
      </x:c>
      <x:c r="C32" s="44" t="str">
        <x:v>1H-Schwert</x:v>
      </x:c>
      <x:c r="D32" s="44" t="str">
        <x:v>MM8</x:v>
      </x:c>
      <x:c r="E32" s="50" t="n">
        <x:f>ROUND(X32*Y32,0)</x:f>
        <x:v>469</x:v>
      </x:c>
      <x:c r="F32" s="51" t="n">
        <x:f>ROUND(($B$5+N32*$H$5+W32)/(1-(AH32/2+(AA32+AB32+AC32+AD32+AE32+AF32)/16+AG32/8)),0)</x:f>
        <x:v>3842</x:v>
      </x:c>
      <x:c r="G32" s="51" t="n">
        <x:f>F32-$B$8</x:f>
        <x:v>0</x:v>
      </x:c>
      <x:c r="H32" s="44" t="str">
        <x:v>Nein</x:v>
      </x:c>
      <x:c r="I32" s="44" t="str">
        <x:v>+60 Accuracy vor Levelskalierung.</x:v>
      </x:c>
      <x:c r="J32" s="44" t="str">
        <x:v>Lichtschaden pro Treffer; gegen manche Gegner sehr wirksam.</x:v>
      </x:c>
      <x:c r="K32" s="44" t="str">
        <x:v>—</x:v>
      </x:c>
      <x:c r="L32" s="44" t="str">
        <x:v>Lichtschaden nicht enthalten.</x:v>
      </x:c>
      <x:c r="M32" s="44" t="str">
        <x:v>https://github.com/Malekitsu/Maw-Mod-MMMerge/blob/4.5/Scripts/General/zzMaw-Items.lua</x:v>
      </x:c>
      <x:c r="N32" s="54" t="n">
        <x:v>0</x:v>
      </x:c>
      <x:c r="O32" s="54" t="n">
        <x:v>0</x:v>
      </x:c>
      <x:c r="P32" s="54" t="n">
        <x:v>0</x:v>
      </x:c>
      <x:c r="Q32" s="54" t="n">
        <x:v>0</x:v>
      </x:c>
      <x:c r="R32" s="54" t="n">
        <x:v>0</x:v>
      </x:c>
      <x:c r="S32" s="54" t="n">
        <x:v>0</x:v>
      </x:c>
      <x:c r="T32" s="54" t="n">
        <x:v>0</x:v>
      </x:c>
      <x:c r="U32" s="54" t="n">
        <x:v>0</x:v>
      </x:c>
      <x:c r="V32" s="54" t="n">
        <x:v>0</x:v>
      </x:c>
      <x:c r="W32" s="54" t="n">
        <x:v>0</x:v>
      </x:c>
      <x:c r="X32" s="44" t="n">
        <x:v>469</x:v>
      </x:c>
      <x:c r="Y32" s="44" t="n">
        <x:v>1</x:v>
      </x:c>
      <x:c r="Z32" s="44" t="n">
        <x:v>0</x:v>
      </x:c>
      <x:c r="AA32" s="56" t="n">
        <x:f>IF($F$5+P32&gt;=65000,1,1-1/(1+($F$5+P32)/(60+$J$5*0.5)))</x:f>
        <x:v>0.3125</x:v>
      </x:c>
      <x:c r="AB32" s="56" t="n">
        <x:f>IF($F$5+Q32&gt;=65000,1,1-1/(1+($F$5+Q32)/(60+$J$5*0.5)))</x:f>
        <x:v>0.3125</x:v>
      </x:c>
      <x:c r="AC32" s="56" t="n">
        <x:f>IF($F$5+R32&gt;=65000,1,1-1/(1+($F$5+R32)/(60+$J$5*0.5)))</x:f>
        <x:v>0.3125</x:v>
      </x:c>
      <x:c r="AD32" s="56" t="n">
        <x:f>IF($F$5+S32&gt;=65000,1,1-1/(1+($F$5+S32)/(60+$J$5*0.5)))</x:f>
        <x:v>0.3125</x:v>
      </x:c>
      <x:c r="AE32" s="56" t="n">
        <x:f>IF($F$5+T32&gt;=65000,1,1-1/(1+($F$5+T32)/(60+$J$5*0.5)))</x:f>
        <x:v>0.3125</x:v>
      </x:c>
      <x:c r="AF32" s="56" t="n">
        <x:f>IF($F$5+U32&gt;=65000,1,1-1/(1+($F$5+U32)/(60+$J$5*0.5)))</x:f>
        <x:v>0.3125</x:v>
      </x:c>
      <x:c r="AG32" s="56" t="n">
        <x:f>IF($F$5+V32&gt;=65000,1,1-1/(1+($F$5+V32)/(60+$J$5*0.5)))</x:f>
        <x:v>0.3125</x:v>
      </x:c>
      <x:c r="AH32" s="56" t="n">
        <x:f>1-((5+$J$5*2)/(10+$J$5*2+MAX(0,$D$5+O32)))*(1/(1+MAX(0,$D$5+O32)/(90+$J$5*0.25)))</x:f>
        <x:v>0.6462865716429107</x:v>
      </x:c>
      <x:c r="AI32" s="44" t="str">
        <x:v>Text + MAW-Stats</x:v>
      </x:c>
      <x:c r="AJ32" s="44" t="str">
        <x:v>8d4+20</x:v>
      </x:c>
    </x:row>
    <x:row r="33" ht="49" customHeight="1">
      <x:c r="A33" s="44" t="n">
        <x:v>22</x:v>
      </x:c>
      <x:c r="B33" s="44" t="str">
        <x:v>Hades</x:v>
      </x:c>
      <x:c r="C33" s="44" t="str">
        <x:v>1H-Schwert</x:v>
      </x:c>
      <x:c r="D33" s="44" t="str">
        <x:v>MM6</x:v>
      </x:c>
      <x:c r="E33" s="50" t="n">
        <x:f>ROUND(X33*Y33,0)</x:f>
        <x:v>467</x:v>
      </x:c>
      <x:c r="F33" s="51" t="n">
        <x:f>ROUND(($B$5+N33*$H$5+W33)/(1-(AH33/2+(AA33+AB33+AC33+AD33+AE33+AF33)/16+AG33/8)),0)</x:f>
        <x:v>3842</x:v>
      </x:c>
      <x:c r="G33" s="51" t="n">
        <x:f>F33-$B$8</x:f>
        <x:v>0</x:v>
      </x:c>
      <x:c r="H33" s="44" t="str">
        <x:v>Nein</x:v>
      </x:c>
      <x:c r="I33" s="44" t="str">
        <x:v>+60 Luck; −3 HP-Regen (Schaden über Zeit für Träger).</x:v>
      </x:c>
      <x:c r="J33" s="44" t="str">
        <x:v>Geskripteter Wasserschaden (+20 Basis je Treffer) und zusätzlicher Zaubereffekt.</x:v>
      </x:c>
      <x:c r="K33" s="44" t="str">
        <x:v>—</x:v>
      </x:c>
      <x:c r="L33" s="44" t="str">
        <x:v>Zauber und zusätzlicher Wasserschaden nicht enthalten.</x:v>
      </x:c>
      <x:c r="M33" s="44" t="str">
        <x:v>https://github.com/Malekitsu/Maw-Mod-MMMerge/blob/4.5/Scripts/Global/ExtraArtifacts.lua</x:v>
      </x:c>
      <x:c r="N33" s="54" t="n">
        <x:v>0</x:v>
      </x:c>
      <x:c r="O33" s="54" t="n">
        <x:v>0</x:v>
      </x:c>
      <x:c r="P33" s="54" t="n">
        <x:v>0</x:v>
      </x:c>
      <x:c r="Q33" s="54" t="n">
        <x:v>0</x:v>
      </x:c>
      <x:c r="R33" s="54" t="n">
        <x:v>0</x:v>
      </x:c>
      <x:c r="S33" s="54" t="n">
        <x:v>0</x:v>
      </x:c>
      <x:c r="T33" s="54" t="n">
        <x:v>0</x:v>
      </x:c>
      <x:c r="U33" s="54" t="n">
        <x:v>0</x:v>
      </x:c>
      <x:c r="V33" s="54" t="n">
        <x:v>0</x:v>
      </x:c>
      <x:c r="W33" s="54" t="n">
        <x:v>0</x:v>
      </x:c>
      <x:c r="X33" s="44" t="n">
        <x:v>467</x:v>
      </x:c>
      <x:c r="Y33" s="44" t="n">
        <x:v>1</x:v>
      </x:c>
      <x:c r="Z33" s="44" t="n">
        <x:v>-3</x:v>
      </x:c>
      <x:c r="AA33" s="56" t="n">
        <x:f>IF($F$5+P33&gt;=65000,1,1-1/(1+($F$5+P33)/(60+$J$5*0.5)))</x:f>
        <x:v>0.3125</x:v>
      </x:c>
      <x:c r="AB33" s="56" t="n">
        <x:f>IF($F$5+Q33&gt;=65000,1,1-1/(1+($F$5+Q33)/(60+$J$5*0.5)))</x:f>
        <x:v>0.3125</x:v>
      </x:c>
      <x:c r="AC33" s="56" t="n">
        <x:f>IF($F$5+R33&gt;=65000,1,1-1/(1+($F$5+R33)/(60+$J$5*0.5)))</x:f>
        <x:v>0.3125</x:v>
      </x:c>
      <x:c r="AD33" s="56" t="n">
        <x:f>IF($F$5+S33&gt;=65000,1,1-1/(1+($F$5+S33)/(60+$J$5*0.5)))</x:f>
        <x:v>0.3125</x:v>
      </x:c>
      <x:c r="AE33" s="56" t="n">
        <x:f>IF($F$5+T33&gt;=65000,1,1-1/(1+($F$5+T33)/(60+$J$5*0.5)))</x:f>
        <x:v>0.3125</x:v>
      </x:c>
      <x:c r="AF33" s="56" t="n">
        <x:f>IF($F$5+U33&gt;=65000,1,1-1/(1+($F$5+U33)/(60+$J$5*0.5)))</x:f>
        <x:v>0.3125</x:v>
      </x:c>
      <x:c r="AG33" s="56" t="n">
        <x:f>IF($F$5+V33&gt;=65000,1,1-1/(1+($F$5+V33)/(60+$J$5*0.5)))</x:f>
        <x:v>0.3125</x:v>
      </x:c>
      <x:c r="AH33" s="56" t="n">
        <x:f>1-((5+$J$5*2)/(10+$J$5*2+MAX(0,$D$5+O33)))*(1/(1+MAX(0,$D$5+O33)/(90+$J$5*0.25)))</x:f>
        <x:v>0.6462865716429107</x:v>
      </x:c>
      <x:c r="AI33" s="44" t="str">
        <x:v>Skript</x:v>
      </x:c>
      <x:c r="AJ33" s="44" t="str">
        <x:v>6d6+18</x:v>
      </x:c>
    </x:row>
    <x:row r="34" ht="49" customHeight="1">
      <x:c r="A34" s="44" t="n">
        <x:v>23</x:v>
      </x:c>
      <x:c r="B34" s="44" t="str">
        <x:v>Havoc</x:v>
      </x:c>
      <x:c r="C34" s="44" t="str">
        <x:v>1H-Schwert</x:v>
      </x:c>
      <x:c r="D34" s="44" t="str">
        <x:v>MM8</x:v>
      </x:c>
      <x:c r="E34" s="50" t="n">
        <x:f>ROUND(X34*Y34,0)</x:f>
        <x:v>463</x:v>
      </x:c>
      <x:c r="F34" s="51" t="n">
        <x:f>ROUND(($B$5+N34*$H$5+W34)/(1-(AH34/2+(AA34+AB34+AC34+AD34+AE34+AF34)/16+AG34/8)),0)</x:f>
        <x:v>3562</x:v>
      </x:c>
      <x:c r="G34" s="51" t="n">
        <x:f>F34-$B$8</x:f>
        <x:v>-280</x:v>
      </x:c>
      <x:c r="H34" s="44" t="str">
        <x:v>Nein</x:v>
      </x:c>
      <x:c r="I34" s="44" t="str">
        <x:v>+70 Speed, +70 Accuracy, −20 AC vor Levelskalierung.</x:v>
      </x:c>
      <x:c r="J34" s="44" t="str">
        <x:v>Sehr hohe Speed-/Accuracy-Werte; kein eigener Trefferproc.</x:v>
      </x:c>
      <x:c r="K34" s="44" t="str">
        <x:v>—</x:v>
      </x:c>
      <x:c r="L34" s="44" t="str">
        <x:v>Kein Zusatzproc.</x:v>
      </x:c>
      <x:c r="M34" s="44" t="str">
        <x:v>https://github.com/Malekitsu/Maw-Mod-MMMerge/blob/4.5/Scripts/General/zzMaw-Items.lua</x:v>
      </x:c>
      <x:c r="N34" s="54" t="n">
        <x:v>0</x:v>
      </x:c>
      <x:c r="O34" s="54" t="n">
        <x:v>-25</x:v>
      </x:c>
      <x:c r="P34" s="54" t="n">
        <x:v>0</x:v>
      </x:c>
      <x:c r="Q34" s="54" t="n">
        <x:v>0</x:v>
      </x:c>
      <x:c r="R34" s="54" t="n">
        <x:v>0</x:v>
      </x:c>
      <x:c r="S34" s="54" t="n">
        <x:v>0</x:v>
      </x:c>
      <x:c r="T34" s="54" t="n">
        <x:v>0</x:v>
      </x:c>
      <x:c r="U34" s="54" t="n">
        <x:v>0</x:v>
      </x:c>
      <x:c r="V34" s="54" t="n">
        <x:v>0</x:v>
      </x:c>
      <x:c r="W34" s="54" t="n">
        <x:v>0</x:v>
      </x:c>
      <x:c r="X34" s="44" t="n">
        <x:v>463</x:v>
      </x:c>
      <x:c r="Y34" s="44" t="n">
        <x:v>1</x:v>
      </x:c>
      <x:c r="Z34" s="44" t="n">
        <x:v>0</x:v>
      </x:c>
      <x:c r="AA34" s="56" t="n">
        <x:f>IF($F$5+P34&gt;=65000,1,1-1/(1+($F$5+P34)/(60+$J$5*0.5)))</x:f>
        <x:v>0.3125</x:v>
      </x:c>
      <x:c r="AB34" s="56" t="n">
        <x:f>IF($F$5+Q34&gt;=65000,1,1-1/(1+($F$5+Q34)/(60+$J$5*0.5)))</x:f>
        <x:v>0.3125</x:v>
      </x:c>
      <x:c r="AC34" s="56" t="n">
        <x:f>IF($F$5+R34&gt;=65000,1,1-1/(1+($F$5+R34)/(60+$J$5*0.5)))</x:f>
        <x:v>0.3125</x:v>
      </x:c>
      <x:c r="AD34" s="56" t="n">
        <x:f>IF($F$5+S34&gt;=65000,1,1-1/(1+($F$5+S34)/(60+$J$5*0.5)))</x:f>
        <x:v>0.3125</x:v>
      </x:c>
      <x:c r="AE34" s="56" t="n">
        <x:f>IF($F$5+T34&gt;=65000,1,1-1/(1+($F$5+T34)/(60+$J$5*0.5)))</x:f>
        <x:v>0.3125</x:v>
      </x:c>
      <x:c r="AF34" s="56" t="n">
        <x:f>IF($F$5+U34&gt;=65000,1,1-1/(1+($F$5+U34)/(60+$J$5*0.5)))</x:f>
        <x:v>0.3125</x:v>
      </x:c>
      <x:c r="AG34" s="56" t="n">
        <x:f>IF($F$5+V34&gt;=65000,1,1-1/(1+($F$5+V34)/(60+$J$5*0.5)))</x:f>
        <x:v>0.3125</x:v>
      </x:c>
      <x:c r="AH34" s="56" t="n">
        <x:f>1-((5+$J$5*2)/(10+$J$5*2+MAX(0,$D$5+O34)))*(1/(1+MAX(0,$D$5+O34)/(90+$J$5*0.25)))</x:f>
        <x:v>0.5646352723915051</x:v>
      </x:c>
      <x:c r="AI34" s="44" t="str">
        <x:v>MAW-Stats</x:v>
      </x:c>
      <x:c r="AJ34" s="44" t="str">
        <x:v>10d3+18</x:v>
      </x:c>
    </x:row>
    <x:row r="35" ht="49" customHeight="1">
      <x:c r="A35" s="44" t="n">
        <x:v>24</x:v>
      </x:c>
      <x:c r="B35" s="44" t="str">
        <x:v>Lightning Crossbow</x:v>
      </x:c>
      <x:c r="C35" s="44" t="str">
        <x:v>Armbrust</x:v>
      </x:c>
      <x:c r="D35" s="44" t="str">
        <x:v>MM8</x:v>
      </x:c>
      <x:c r="E35" s="50" t="n">
        <x:f>ROUND(X35*Y35,0)</x:f>
        <x:v>460</x:v>
      </x:c>
      <x:c r="F35" s="51" t="n">
        <x:f>ROUND(($B$5+N35*$H$5+W35)/(1-(AH35/2+(AA35+AB35+AC35+AD35+AE35+AF35)/16+AG35/8)),0)</x:f>
        <x:v>3842</x:v>
      </x:c>
      <x:c r="G35" s="51" t="n">
        <x:f>F35-$B$8</x:f>
        <x:v>0</x:v>
      </x:c>
      <x:c r="H35" s="44" t="str">
        <x:v>Nein</x:v>
      </x:c>
      <x:c r="I35" s="44" t="str">
        <x:v>+60 Might und Speed vor Skalierung.</x:v>
      </x:c>
      <x:c r="J35" s="44" t="str">
        <x:v>Swift laut Itemtext; besonders für Bogen-/Armbrustnutzer.</x:v>
      </x:c>
      <x:c r="K35" s="44" t="str">
        <x:v>Nur Elfen/Dunkelelfen (ExtraArtifacts).</x:v>
      </x:c>
      <x:c r="L35" s="44" t="str">
        <x:v>Swift-Auswirkung nicht in DPS.</x:v>
      </x:c>
      <x:c r="M35" s="44" t="str">
        <x:v>https://github.com/Malekitsu/Maw-Mod-MMMerge/blob/4.5/Scripts/General/zzMaw-Items.lua</x:v>
      </x:c>
      <x:c r="N35" s="54" t="n">
        <x:v>0</x:v>
      </x:c>
      <x:c r="O35" s="54" t="n">
        <x:v>0</x:v>
      </x:c>
      <x:c r="P35" s="54" t="n">
        <x:v>0</x:v>
      </x:c>
      <x:c r="Q35" s="54" t="n">
        <x:v>0</x:v>
      </x:c>
      <x:c r="R35" s="54" t="n">
        <x:v>0</x:v>
      </x:c>
      <x:c r="S35" s="54" t="n">
        <x:v>0</x:v>
      </x:c>
      <x:c r="T35" s="54" t="n">
        <x:v>0</x:v>
      </x:c>
      <x:c r="U35" s="54" t="n">
        <x:v>0</x:v>
      </x:c>
      <x:c r="V35" s="54" t="n">
        <x:v>0</x:v>
      </x:c>
      <x:c r="W35" s="54" t="n">
        <x:v>0</x:v>
      </x:c>
      <x:c r="X35" s="44" t="n">
        <x:v>460</x:v>
      </x:c>
      <x:c r="Y35" s="44" t="n">
        <x:v>1</x:v>
      </x:c>
      <x:c r="Z35" s="44" t="n">
        <x:v>0</x:v>
      </x:c>
      <x:c r="AA35" s="56" t="n">
        <x:f>IF($F$5+P35&gt;=65000,1,1-1/(1+($F$5+P35)/(60+$J$5*0.5)))</x:f>
        <x:v>0.3125</x:v>
      </x:c>
      <x:c r="AB35" s="56" t="n">
        <x:f>IF($F$5+Q35&gt;=65000,1,1-1/(1+($F$5+Q35)/(60+$J$5*0.5)))</x:f>
        <x:v>0.3125</x:v>
      </x:c>
      <x:c r="AC35" s="56" t="n">
        <x:f>IF($F$5+R35&gt;=65000,1,1-1/(1+($F$5+R35)/(60+$J$5*0.5)))</x:f>
        <x:v>0.3125</x:v>
      </x:c>
      <x:c r="AD35" s="56" t="n">
        <x:f>IF($F$5+S35&gt;=65000,1,1-1/(1+($F$5+S35)/(60+$J$5*0.5)))</x:f>
        <x:v>0.3125</x:v>
      </x:c>
      <x:c r="AE35" s="56" t="n">
        <x:f>IF($F$5+T35&gt;=65000,1,1-1/(1+($F$5+T35)/(60+$J$5*0.5)))</x:f>
        <x:v>0.3125</x:v>
      </x:c>
      <x:c r="AF35" s="56" t="n">
        <x:f>IF($F$5+U35&gt;=65000,1,1-1/(1+($F$5+U35)/(60+$J$5*0.5)))</x:f>
        <x:v>0.3125</x:v>
      </x:c>
      <x:c r="AG35" s="56" t="n">
        <x:f>IF($F$5+V35&gt;=65000,1,1-1/(1+($F$5+V35)/(60+$J$5*0.5)))</x:f>
        <x:v>0.3125</x:v>
      </x:c>
      <x:c r="AH35" s="56" t="n">
        <x:f>1-((5+$J$5*2)/(10+$J$5*2+MAX(0,$D$5+O35)))*(1/(1+MAX(0,$D$5+O35)/(90+$J$5*0.25)))</x:f>
        <x:v>0.6462865716429107</x:v>
      </x:c>
      <x:c r="AI35" s="44" t="str">
        <x:v>Itemtext + MAW-Stats</x:v>
      </x:c>
      <x:c r="AJ35" s="44" t="str">
        <x:v>20d3+15</x:v>
      </x:c>
    </x:row>
    <x:row r="36" ht="49" customHeight="1">
      <x:c r="A36" s="44" t="n">
        <x:v>25</x:v>
      </x:c>
      <x:c r="B36" s="44" t="str">
        <x:v>Puck</x:v>
      </x:c>
      <x:c r="C36" s="44" t="str">
        <x:v>1H-Schwert</x:v>
      </x:c>
      <x:c r="D36" s="44" t="str">
        <x:v>MM7</x:v>
      </x:c>
      <x:c r="E36" s="50" t="n">
        <x:f>ROUND(X36*Y36,0)</x:f>
        <x:v>460</x:v>
      </x:c>
      <x:c r="F36" s="51" t="n">
        <x:f>ROUND(($B$5+N36*$H$5+W36)/(1-(AH36/2+(AA36+AB36+AC36+AD36+AE36+AF36)/16+AG36/8)),0)</x:f>
        <x:v>3842</x:v>
      </x:c>
      <x:c r="G36" s="51" t="n">
        <x:f>F36-$B$8</x:f>
        <x:v>0</x:v>
      </x:c>
      <x:c r="H36" s="44" t="str">
        <x:v>Nein</x:v>
      </x:c>
      <x:c r="I36" s="44" t="str">
        <x:v>+80 Speed vor Levelskalierung.</x:v>
      </x:c>
      <x:c r="J36" s="44" t="str">
        <x:v>Swift im Itemtext; geskriptete Erholungsmodifikation −20, in ExtraArtifacts effektiv ca. −10 %.</x:v>
      </x:c>
      <x:c r="K36" s="44" t="str">
        <x:v>—</x:v>
      </x:c>
      <x:c r="L36" s="44" t="str">
        <x:v>Besondere Recovery nicht in Tabellen-DPS.</x:v>
      </x:c>
      <x:c r="M36" s="44" t="str">
        <x:v>https://github.com/Malekitsu/Maw-Mod-MMMerge/blob/4.5/Scripts/General/zzMaw-Items.lua</x:v>
      </x:c>
      <x:c r="N36" s="54" t="n">
        <x:v>0</x:v>
      </x:c>
      <x:c r="O36" s="54" t="n">
        <x:v>0</x:v>
      </x:c>
      <x:c r="P36" s="54" t="n">
        <x:v>0</x:v>
      </x:c>
      <x:c r="Q36" s="54" t="n">
        <x:v>0</x:v>
      </x:c>
      <x:c r="R36" s="54" t="n">
        <x:v>0</x:v>
      </x:c>
      <x:c r="S36" s="54" t="n">
        <x:v>0</x:v>
      </x:c>
      <x:c r="T36" s="54" t="n">
        <x:v>0</x:v>
      </x:c>
      <x:c r="U36" s="54" t="n">
        <x:v>0</x:v>
      </x:c>
      <x:c r="V36" s="54" t="n">
        <x:v>0</x:v>
      </x:c>
      <x:c r="W36" s="54" t="n">
        <x:v>0</x:v>
      </x:c>
      <x:c r="X36" s="44" t="n">
        <x:v>460</x:v>
      </x:c>
      <x:c r="Y36" s="44" t="n">
        <x:v>1</x:v>
      </x:c>
      <x:c r="Z36" s="44" t="n">
        <x:v>0</x:v>
      </x:c>
      <x:c r="AA36" s="56" t="n">
        <x:f>IF($F$5+P36&gt;=65000,1,1-1/(1+($F$5+P36)/(60+$J$5*0.5)))</x:f>
        <x:v>0.3125</x:v>
      </x:c>
      <x:c r="AB36" s="56" t="n">
        <x:f>IF($F$5+Q36&gt;=65000,1,1-1/(1+($F$5+Q36)/(60+$J$5*0.5)))</x:f>
        <x:v>0.3125</x:v>
      </x:c>
      <x:c r="AC36" s="56" t="n">
        <x:f>IF($F$5+R36&gt;=65000,1,1-1/(1+($F$5+R36)/(60+$J$5*0.5)))</x:f>
        <x:v>0.3125</x:v>
      </x:c>
      <x:c r="AD36" s="56" t="n">
        <x:f>IF($F$5+S36&gt;=65000,1,1-1/(1+($F$5+S36)/(60+$J$5*0.5)))</x:f>
        <x:v>0.3125</x:v>
      </x:c>
      <x:c r="AE36" s="56" t="n">
        <x:f>IF($F$5+T36&gt;=65000,1,1-1/(1+($F$5+T36)/(60+$J$5*0.5)))</x:f>
        <x:v>0.3125</x:v>
      </x:c>
      <x:c r="AF36" s="56" t="n">
        <x:f>IF($F$5+U36&gt;=65000,1,1-1/(1+($F$5+U36)/(60+$J$5*0.5)))</x:f>
        <x:v>0.3125</x:v>
      </x:c>
      <x:c r="AG36" s="56" t="n">
        <x:f>IF($F$5+V36&gt;=65000,1,1-1/(1+($F$5+V36)/(60+$J$5*0.5)))</x:f>
        <x:v>0.3125</x:v>
      </x:c>
      <x:c r="AH36" s="56" t="n">
        <x:f>1-((5+$J$5*2)/(10+$J$5*2+MAX(0,$D$5+O36)))*(1/(1+MAX(0,$D$5+O36)/(90+$J$5*0.25)))</x:f>
        <x:v>0.6462865716429107</x:v>
      </x:c>
      <x:c r="AI36" s="44" t="str">
        <x:v>Skript + MAW-Stats</x:v>
      </x:c>
      <x:c r="AJ36" s="44" t="str">
        <x:v>6d6+17</x:v>
      </x:c>
    </x:row>
    <x:row r="37" ht="49" customHeight="1">
      <x:c r="A37" s="44" t="n">
        <x:v>26</x:v>
      </x:c>
      <x:c r="B37" s="44" t="str">
        <x:v>Snake</x:v>
      </x:c>
      <x:c r="C37" s="44" t="str">
        <x:v>1H-Schwert</x:v>
      </x:c>
      <x:c r="D37" s="44" t="str">
        <x:v>MM8</x:v>
      </x:c>
      <x:c r="E37" s="50" t="n">
        <x:f>ROUND(X37*Y37,0)</x:f>
        <x:v>442</x:v>
      </x:c>
      <x:c r="F37" s="51" t="n">
        <x:f>ROUND(($B$5+N37*$H$5+W37)/(1-(AH37/2+(AA37+AB37+AC37+AD37+AE37+AF37)/16+AG37/8)),0)</x:f>
        <x:v>3649</x:v>
      </x:c>
      <x:c r="G37" s="51" t="n">
        <x:f>F37-$B$8</x:f>
        <x:v>-193</x:v>
      </x:c>
      <x:c r="H37" s="44" t="str">
        <x:v>Nein</x:v>
      </x:c>
      <x:c r="I37" s="44" t="str">
        <x:v>+100 Speed, −50 Wasserresistenz, −15 Personality vor Skalierung.</x:v>
      </x:c>
      <x:c r="J37" s="44" t="str">
        <x:v>Verlangsamt das Ziel bei Treffer (Slow).</x:v>
      </x:c>
      <x:c r="K37" s="44" t="str">
        <x:v>—</x:v>
      </x:c>
      <x:c r="L37" s="44" t="str">
        <x:v>Verlangsamung nicht in DPS.</x:v>
      </x:c>
      <x:c r="M37" s="44" t="str">
        <x:v>https://github.com/Malekitsu/Maw-Mod-MMMerge/blob/4.5/Scripts/General/zzMaw-Items.lua</x:v>
      </x:c>
      <x:c r="N37" s="54" t="n">
        <x:v>0</x:v>
      </x:c>
      <x:c r="O37" s="54" t="n">
        <x:v>0</x:v>
      </x:c>
      <x:c r="P37" s="54" t="n">
        <x:v>0</x:v>
      </x:c>
      <x:c r="Q37" s="54" t="n">
        <x:v>0</x:v>
      </x:c>
      <x:c r="R37" s="54" t="n">
        <x:v>-62.5</x:v>
      </x:c>
      <x:c r="S37" s="54" t="n">
        <x:v>0</x:v>
      </x:c>
      <x:c r="T37" s="54" t="n">
        <x:v>0</x:v>
      </x:c>
      <x:c r="U37" s="54" t="n">
        <x:v>0</x:v>
      </x:c>
      <x:c r="V37" s="54" t="n">
        <x:v>0</x:v>
      </x:c>
      <x:c r="W37" s="54" t="n">
        <x:v>0</x:v>
      </x:c>
      <x:c r="X37" s="44" t="n">
        <x:v>442</x:v>
      </x:c>
      <x:c r="Y37" s="44" t="n">
        <x:v>1</x:v>
      </x:c>
      <x:c r="Z37" s="44" t="n">
        <x:v>0</x:v>
      </x:c>
      <x:c r="AA37" s="56" t="n">
        <x:f>IF($F$5+P37&gt;=65000,1,1-1/(1+($F$5+P37)/(60+$J$5*0.5)))</x:f>
        <x:v>0.3125</x:v>
      </x:c>
      <x:c r="AB37" s="56" t="n">
        <x:f>IF($F$5+Q37&gt;=65000,1,1-1/(1+($F$5+Q37)/(60+$J$5*0.5)))</x:f>
        <x:v>0.3125</x:v>
      </x:c>
      <x:c r="AC37" s="56" t="n">
        <x:f>IF($F$5+R37&gt;=65000,1,1-1/(1+($F$5+R37)/(60+$J$5*0.5)))</x:f>
        <x:v>-0.1282051282051282</x:v>
      </x:c>
      <x:c r="AD37" s="56" t="n">
        <x:f>IF($F$5+S37&gt;=65000,1,1-1/(1+($F$5+S37)/(60+$J$5*0.5)))</x:f>
        <x:v>0.3125</x:v>
      </x:c>
      <x:c r="AE37" s="56" t="n">
        <x:f>IF($F$5+T37&gt;=65000,1,1-1/(1+($F$5+T37)/(60+$J$5*0.5)))</x:f>
        <x:v>0.3125</x:v>
      </x:c>
      <x:c r="AF37" s="56" t="n">
        <x:f>IF($F$5+U37&gt;=65000,1,1-1/(1+($F$5+U37)/(60+$J$5*0.5)))</x:f>
        <x:v>0.3125</x:v>
      </x:c>
      <x:c r="AG37" s="56" t="n">
        <x:f>IF($F$5+V37&gt;=65000,1,1-1/(1+($F$5+V37)/(60+$J$5*0.5)))</x:f>
        <x:v>0.3125</x:v>
      </x:c>
      <x:c r="AH37" s="56" t="n">
        <x:f>1-((5+$J$5*2)/(10+$J$5*2+MAX(0,$D$5+O37)))*(1/(1+MAX(0,$D$5+O37)/(90+$J$5*0.25)))</x:f>
        <x:v>0.6462865716429107</x:v>
      </x:c>
      <x:c r="AI37" s="44" t="str">
        <x:v>Text + MAW-Stats</x:v>
      </x:c>
      <x:c r="AJ37" s="44" t="str">
        <x:v>8d4+15</x:v>
      </x:c>
    </x:row>
    <x:row r="38" ht="49" customHeight="1">
      <x:c r="A38" s="44" t="n">
        <x:v>27</x:v>
      </x:c>
      <x:c r="B38" s="44" t="str">
        <x:v>Foulfang</x:v>
      </x:c>
      <x:c r="C38" s="44" t="str">
        <x:v>Dolch</x:v>
      </x:c>
      <x:c r="D38" s="44" t="str">
        <x:v>MM8</x:v>
      </x:c>
      <x:c r="E38" s="50" t="n">
        <x:f>ROUND(X38*Y38,0)</x:f>
        <x:v>429</x:v>
      </x:c>
      <x:c r="F38" s="51" t="n">
        <x:f>ROUND(($B$5+N38*$H$5+W38)/(1-(AH38/2+(AA38+AB38+AC38+AD38+AE38+AF38)/16+AG38/8)),0)</x:f>
        <x:v>3842</x:v>
      </x:c>
      <x:c r="G38" s="51" t="n">
        <x:f>F38-$B$8</x:f>
        <x:v>0</x:v>
      </x:c>
      <x:c r="H38" s="44" t="str">
        <x:v>Ja: Gegenstandstext</x:v>
      </x:c>
      <x:c r="I38" s="44" t="str">
        <x:v>Potenzielle Selbstheilung, nicht in der Stats-Menü-Vitality.</x:v>
      </x:c>
      <x:c r="J38" s="44" t="str">
        <x:v>Vampiric und Giftschaden laut Itemtext.</x:v>
      </x:c>
      <x:c r="K38" s="44" t="str">
        <x:v>Nur Vampire (ExtraArtifacts).</x:v>
      </x:c>
      <x:c r="L38" s="44" t="str">
        <x:v>Gift und Lifesteal nicht in DPS.</x:v>
      </x:c>
      <x:c r="M38" s="44" t="str">
        <x:v>https://github.com/Malekitsu/Maw-Mod-MMMerge/blob/4.5/Scripts/Global/ExtraArtifacts.lua</x:v>
      </x:c>
      <x:c r="N38" s="54" t="n">
        <x:v>0</x:v>
      </x:c>
      <x:c r="O38" s="54" t="n">
        <x:v>0</x:v>
      </x:c>
      <x:c r="P38" s="54" t="n">
        <x:v>0</x:v>
      </x:c>
      <x:c r="Q38" s="54" t="n">
        <x:v>0</x:v>
      </x:c>
      <x:c r="R38" s="54" t="n">
        <x:v>0</x:v>
      </x:c>
      <x:c r="S38" s="54" t="n">
        <x:v>0</x:v>
      </x:c>
      <x:c r="T38" s="54" t="n">
        <x:v>0</x:v>
      </x:c>
      <x:c r="U38" s="54" t="n">
        <x:v>0</x:v>
      </x:c>
      <x:c r="V38" s="54" t="n">
        <x:v>0</x:v>
      </x:c>
      <x:c r="W38" s="54" t="n">
        <x:v>0</x:v>
      </x:c>
      <x:c r="X38" s="44" t="n">
        <x:v>429</x:v>
      </x:c>
      <x:c r="Y38" s="44" t="n">
        <x:v>1</x:v>
      </x:c>
      <x:c r="Z38" s="44" t="n">
        <x:v>0</x:v>
      </x:c>
      <x:c r="AA38" s="56" t="n">
        <x:f>IF($F$5+P38&gt;=65000,1,1-1/(1+($F$5+P38)/(60+$J$5*0.5)))</x:f>
        <x:v>0.3125</x:v>
      </x:c>
      <x:c r="AB38" s="56" t="n">
        <x:f>IF($F$5+Q38&gt;=65000,1,1-1/(1+($F$5+Q38)/(60+$J$5*0.5)))</x:f>
        <x:v>0.3125</x:v>
      </x:c>
      <x:c r="AC38" s="56" t="n">
        <x:f>IF($F$5+R38&gt;=65000,1,1-1/(1+($F$5+R38)/(60+$J$5*0.5)))</x:f>
        <x:v>0.3125</x:v>
      </x:c>
      <x:c r="AD38" s="56" t="n">
        <x:f>IF($F$5+S38&gt;=65000,1,1-1/(1+($F$5+S38)/(60+$J$5*0.5)))</x:f>
        <x:v>0.3125</x:v>
      </x:c>
      <x:c r="AE38" s="56" t="n">
        <x:f>IF($F$5+T38&gt;=65000,1,1-1/(1+($F$5+T38)/(60+$J$5*0.5)))</x:f>
        <x:v>0.3125</x:v>
      </x:c>
      <x:c r="AF38" s="56" t="n">
        <x:f>IF($F$5+U38&gt;=65000,1,1-1/(1+($F$5+U38)/(60+$J$5*0.5)))</x:f>
        <x:v>0.3125</x:v>
      </x:c>
      <x:c r="AG38" s="56" t="n">
        <x:f>IF($F$5+V38&gt;=65000,1,1-1/(1+($F$5+V38)/(60+$J$5*0.5)))</x:f>
        <x:v>0.3125</x:v>
      </x:c>
      <x:c r="AH38" s="56" t="n">
        <x:f>1-((5+$J$5*2)/(10+$J$5*2+MAX(0,$D$5+O38)))*(1/(1+MAX(0,$D$5+O38)/(90+$J$5*0.25)))</x:f>
        <x:v>0.6462865716429107</x:v>
      </x:c>
      <x:c r="AI38" s="44" t="str">
        <x:v>Itemtext; Script-Verbindung offen</x:v>
      </x:c>
      <x:c r="AJ38" s="44" t="str">
        <x:v>12d3+12</x:v>
      </x:c>
    </x:row>
    <x:row r="39" ht="49" customHeight="1">
      <x:c r="A39" s="44" t="n">
        <x:v>28</x:v>
      </x:c>
      <x:c r="B39" s="44" t="str">
        <x:v>Old Nick</x:v>
      </x:c>
      <x:c r="C39" s="44" t="str">
        <x:v>Dolch</x:v>
      </x:c>
      <x:c r="D39" s="44" t="str">
        <x:v>MM7</x:v>
      </x:c>
      <x:c r="E39" s="50" t="n">
        <x:f>ROUND(X39*Y39,0)</x:f>
        <x:v>418</x:v>
      </x:c>
      <x:c r="F39" s="51" t="n">
        <x:f>ROUND(($B$5+N39*$H$5+W39)/(1-(AH39/2+(AA39+AB39+AC39+AD39+AE39+AF39)/16+AG39/8)),0)</x:f>
        <x:v>3842</x:v>
      </x:c>
      <x:c r="G39" s="51" t="n">
        <x:f>F39-$B$8</x:f>
        <x:v>0</x:v>
      </x:c>
      <x:c r="H39" s="44" t="str">
        <x:v>Nein</x:v>
      </x:c>
      <x:c r="I39" s="44" t="str">
        <x:v>Disarm-Skillbonus; kein direkter Vitality-Effekt.</x:v>
      </x:c>
      <x:c r="J39" s="44" t="str">
        <x:v>Geskripteter zusätzlicher Wasserschaden (36 Basis); doppelter Trefferschaden gegen Elfen.</x:v>
      </x:c>
      <x:c r="K39" s="44" t="str">
        <x:v>—</x:v>
      </x:c>
      <x:c r="L39" s="44" t="str">
        <x:v>Wasser und Elf-Slaying nicht in DPS.</x:v>
      </x:c>
      <x:c r="M39" s="44" t="str">
        <x:v>https://github.com/Malekitsu/Maw-Mod-MMMerge/blob/4.5/Scripts/Global/ExtraArtifacts.lua</x:v>
      </x:c>
      <x:c r="N39" s="54" t="n">
        <x:v>0</x:v>
      </x:c>
      <x:c r="O39" s="54" t="n">
        <x:v>0</x:v>
      </x:c>
      <x:c r="P39" s="54" t="n">
        <x:v>0</x:v>
      </x:c>
      <x:c r="Q39" s="54" t="n">
        <x:v>0</x:v>
      </x:c>
      <x:c r="R39" s="54" t="n">
        <x:v>0</x:v>
      </x:c>
      <x:c r="S39" s="54" t="n">
        <x:v>0</x:v>
      </x:c>
      <x:c r="T39" s="54" t="n">
        <x:v>0</x:v>
      </x:c>
      <x:c r="U39" s="54" t="n">
        <x:v>0</x:v>
      </x:c>
      <x:c r="V39" s="54" t="n">
        <x:v>0</x:v>
      </x:c>
      <x:c r="W39" s="54" t="n">
        <x:v>0</x:v>
      </x:c>
      <x:c r="X39" s="44" t="n">
        <x:v>418</x:v>
      </x:c>
      <x:c r="Y39" s="44" t="n">
        <x:v>1</x:v>
      </x:c>
      <x:c r="Z39" s="44" t="n">
        <x:v>0</x:v>
      </x:c>
      <x:c r="AA39" s="56" t="n">
        <x:f>IF($F$5+P39&gt;=65000,1,1-1/(1+($F$5+P39)/(60+$J$5*0.5)))</x:f>
        <x:v>0.3125</x:v>
      </x:c>
      <x:c r="AB39" s="56" t="n">
        <x:f>IF($F$5+Q39&gt;=65000,1,1-1/(1+($F$5+Q39)/(60+$J$5*0.5)))</x:f>
        <x:v>0.3125</x:v>
      </x:c>
      <x:c r="AC39" s="56" t="n">
        <x:f>IF($F$5+R39&gt;=65000,1,1-1/(1+($F$5+R39)/(60+$J$5*0.5)))</x:f>
        <x:v>0.3125</x:v>
      </x:c>
      <x:c r="AD39" s="56" t="n">
        <x:f>IF($F$5+S39&gt;=65000,1,1-1/(1+($F$5+S39)/(60+$J$5*0.5)))</x:f>
        <x:v>0.3125</x:v>
      </x:c>
      <x:c r="AE39" s="56" t="n">
        <x:f>IF($F$5+T39&gt;=65000,1,1-1/(1+($F$5+T39)/(60+$J$5*0.5)))</x:f>
        <x:v>0.3125</x:v>
      </x:c>
      <x:c r="AF39" s="56" t="n">
        <x:f>IF($F$5+U39&gt;=65000,1,1-1/(1+($F$5+U39)/(60+$J$5*0.5)))</x:f>
        <x:v>0.3125</x:v>
      </x:c>
      <x:c r="AG39" s="56" t="n">
        <x:f>IF($F$5+V39&gt;=65000,1,1-1/(1+($F$5+V39)/(60+$J$5*0.5)))</x:f>
        <x:v>0.3125</x:v>
      </x:c>
      <x:c r="AH39" s="56" t="n">
        <x:f>1-((5+$J$5*2)/(10+$J$5*2+MAX(0,$D$5+O39)))*(1/(1+MAX(0,$D$5+O39)/(90+$J$5*0.25)))</x:f>
        <x:v>0.6462865716429107</x:v>
      </x:c>
      <x:c r="AI39" s="44" t="str">
        <x:v>Skript</x:v>
      </x:c>
      <x:c r="AJ39" s="44" t="str">
        <x:v>8d5+10</x:v>
      </x:c>
    </x:row>
    <x:row r="40" ht="49" customHeight="1">
      <x:c r="A40" s="44" t="n">
        <x:v>29</x:v>
      </x:c>
      <x:c r="B40" s="44" t="str">
        <x:v>Judicious Measure</x:v>
      </x:c>
      <x:c r="C40" s="44" t="str">
        <x:v>1H-Schwert</x:v>
      </x:c>
      <x:c r="D40" s="44" t="str">
        <x:v>MM8</x:v>
      </x:c>
      <x:c r="E40" s="50" t="n">
        <x:f>ROUND(X40*Y40,0)</x:f>
        <x:v>416</x:v>
      </x:c>
      <x:c r="F40" s="51" t="n">
        <x:f>ROUND(($B$5+N40*$H$5+W40)/(1-(AH40/2+(AA40+AB40+AC40+AD40+AE40+AF40)/16+AG40/8)),0)</x:f>
        <x:v>4322</x:v>
      </x:c>
      <x:c r="G40" s="51" t="n">
        <x:f>F40-$B$8</x:f>
        <x:v>480</x:v>
      </x:c>
      <x:c r="H40" s="44" t="str">
        <x:v>Nein</x:v>
      </x:c>
      <x:c r="I40" s="44" t="str">
        <x:v>+40 Endurance und +40 Luck vor Levelskalierung.</x:v>
      </x:c>
      <x:c r="J40" s="44" t="str">
        <x:v>Ogre Slaying: situationsabhängiger Bonus gegen Oger.</x:v>
      </x:c>
      <x:c r="K40" s="44" t="str">
        <x:v>—</x:v>
      </x:c>
      <x:c r="L40" s="44" t="str">
        <x:v>Ogre Slaying nicht in DPS.</x:v>
      </x:c>
      <x:c r="M40" s="44" t="str">
        <x:v>https://github.com/Malekitsu/Maw-Mod-MMMerge/blob/4.5/Scripts/General/zzMaw-Items.lua</x:v>
      </x:c>
      <x:c r="N40" s="54" t="n">
        <x:v>50</x:v>
      </x:c>
      <x:c r="O40" s="54" t="n">
        <x:v>0</x:v>
      </x:c>
      <x:c r="P40" s="54" t="n">
        <x:v>0</x:v>
      </x:c>
      <x:c r="Q40" s="54" t="n">
        <x:v>0</x:v>
      </x:c>
      <x:c r="R40" s="54" t="n">
        <x:v>0</x:v>
      </x:c>
      <x:c r="S40" s="54" t="n">
        <x:v>0</x:v>
      </x:c>
      <x:c r="T40" s="54" t="n">
        <x:v>0</x:v>
      </x:c>
      <x:c r="U40" s="54" t="n">
        <x:v>0</x:v>
      </x:c>
      <x:c r="V40" s="54" t="n">
        <x:v>0</x:v>
      </x:c>
      <x:c r="W40" s="54" t="n">
        <x:v>0</x:v>
      </x:c>
      <x:c r="X40" s="44" t="n">
        <x:v>416</x:v>
      </x:c>
      <x:c r="Y40" s="44" t="n">
        <x:v>1</x:v>
      </x:c>
      <x:c r="Z40" s="44" t="n">
        <x:v>0</x:v>
      </x:c>
      <x:c r="AA40" s="56" t="n">
        <x:f>IF($F$5+P40&gt;=65000,1,1-1/(1+($F$5+P40)/(60+$J$5*0.5)))</x:f>
        <x:v>0.3125</x:v>
      </x:c>
      <x:c r="AB40" s="56" t="n">
        <x:f>IF($F$5+Q40&gt;=65000,1,1-1/(1+($F$5+Q40)/(60+$J$5*0.5)))</x:f>
        <x:v>0.3125</x:v>
      </x:c>
      <x:c r="AC40" s="56" t="n">
        <x:f>IF($F$5+R40&gt;=65000,1,1-1/(1+($F$5+R40)/(60+$J$5*0.5)))</x:f>
        <x:v>0.3125</x:v>
      </x:c>
      <x:c r="AD40" s="56" t="n">
        <x:f>IF($F$5+S40&gt;=65000,1,1-1/(1+($F$5+S40)/(60+$J$5*0.5)))</x:f>
        <x:v>0.3125</x:v>
      </x:c>
      <x:c r="AE40" s="56" t="n">
        <x:f>IF($F$5+T40&gt;=65000,1,1-1/(1+($F$5+T40)/(60+$J$5*0.5)))</x:f>
        <x:v>0.3125</x:v>
      </x:c>
      <x:c r="AF40" s="56" t="n">
        <x:f>IF($F$5+U40&gt;=65000,1,1-1/(1+($F$5+U40)/(60+$J$5*0.5)))</x:f>
        <x:v>0.3125</x:v>
      </x:c>
      <x:c r="AG40" s="56" t="n">
        <x:f>IF($F$5+V40&gt;=65000,1,1-1/(1+($F$5+V40)/(60+$J$5*0.5)))</x:f>
        <x:v>0.3125</x:v>
      </x:c>
      <x:c r="AH40" s="56" t="n">
        <x:f>1-((5+$J$5*2)/(10+$J$5*2+MAX(0,$D$5+O40)))*(1/(1+MAX(0,$D$5+O40)/(90+$J$5*0.25)))</x:f>
        <x:v>0.6462865716429107</x:v>
      </x:c>
      <x:c r="AI40" s="44" t="str">
        <x:v>Text + MAW-Stats</x:v>
      </x:c>
      <x:c r="AJ40" s="44" t="str">
        <x:v>6d5+16</x:v>
      </x:c>
    </x:row>
    <x:row r="41" ht="49" customHeight="1">
      <x:c r="A41" s="44" t="n">
        <x:v>30</x:v>
      </x:c>
      <x:c r="B41" s="44" t="str">
        <x:v>Poseidon</x:v>
      </x:c>
      <x:c r="C41" s="44" t="str">
        <x:v>Speer</x:v>
      </x:c>
      <x:c r="D41" s="44" t="str">
        <x:v>MM6</x:v>
      </x:c>
      <x:c r="E41" s="50" t="n">
        <x:f>ROUND(X41*Y41,0)</x:f>
        <x:v>413</x:v>
      </x:c>
      <x:c r="F41" s="51" t="n">
        <x:f>ROUND(($B$5+N41*$H$5+W41)/(1-(AH41/2+(AA41+AB41+AC41+AD41+AE41+AF41)/16+AG41/8)),0)</x:f>
        <x:v>4171</x:v>
      </x:c>
      <x:c r="G41" s="51" t="n">
        <x:f>F41-$B$8</x:f>
        <x:v>329</x:v>
      </x:c>
      <x:c r="H41" s="44" t="str">
        <x:v>Nein</x:v>
      </x:c>
      <x:c r="I41" s="44" t="str">
        <x:v>+40 Might, Endurance, Accuracy; −10 Speed und −10 AC vor Skalierung.</x:v>
      </x:c>
      <x:c r="J41" s="44" t="str">
        <x:v>Hoher Grundschaden; Speer-GM-Resistenzsenkung kann Folgeangriffe verstärken.</x:v>
      </x:c>
      <x:c r="K41" s="44" t="str">
        <x:v>1H/2H-fähig.</x:v>
      </x:c>
      <x:c r="L41" s="44" t="str">
        <x:v>Speer-GM-Debuff nicht in Basis-DPS.</x:v>
      </x:c>
      <x:c r="M41" s="44" t="str">
        <x:v>https://github.com/Malekitsu/Maw-Mod-MMMerge/blob/4.5/Scripts/General/zzMaw-Items.lua</x:v>
      </x:c>
      <x:c r="N41" s="54" t="n">
        <x:v>50</x:v>
      </x:c>
      <x:c r="O41" s="54" t="n">
        <x:v>-12.5</x:v>
      </x:c>
      <x:c r="P41" s="54" t="n">
        <x:v>0</x:v>
      </x:c>
      <x:c r="Q41" s="54" t="n">
        <x:v>0</x:v>
      </x:c>
      <x:c r="R41" s="54" t="n">
        <x:v>0</x:v>
      </x:c>
      <x:c r="S41" s="54" t="n">
        <x:v>0</x:v>
      </x:c>
      <x:c r="T41" s="54" t="n">
        <x:v>0</x:v>
      </x:c>
      <x:c r="U41" s="54" t="n">
        <x:v>0</x:v>
      </x:c>
      <x:c r="V41" s="54" t="n">
        <x:v>0</x:v>
      </x:c>
      <x:c r="W41" s="54" t="n">
        <x:v>0</x:v>
      </x:c>
      <x:c r="X41" s="44" t="n">
        <x:v>413</x:v>
      </x:c>
      <x:c r="Y41" s="44" t="n">
        <x:v>1</x:v>
      </x:c>
      <x:c r="Z41" s="44" t="n">
        <x:v>0</x:v>
      </x:c>
      <x:c r="AA41" s="56" t="n">
        <x:f>IF($F$5+P41&gt;=65000,1,1-1/(1+($F$5+P41)/(60+$J$5*0.5)))</x:f>
        <x:v>0.3125</x:v>
      </x:c>
      <x:c r="AB41" s="56" t="n">
        <x:f>IF($F$5+Q41&gt;=65000,1,1-1/(1+($F$5+Q41)/(60+$J$5*0.5)))</x:f>
        <x:v>0.3125</x:v>
      </x:c>
      <x:c r="AC41" s="56" t="n">
        <x:f>IF($F$5+R41&gt;=65000,1,1-1/(1+($F$5+R41)/(60+$J$5*0.5)))</x:f>
        <x:v>0.3125</x:v>
      </x:c>
      <x:c r="AD41" s="56" t="n">
        <x:f>IF($F$5+S41&gt;=65000,1,1-1/(1+($F$5+S41)/(60+$J$5*0.5)))</x:f>
        <x:v>0.3125</x:v>
      </x:c>
      <x:c r="AE41" s="56" t="n">
        <x:f>IF($F$5+T41&gt;=65000,1,1-1/(1+($F$5+T41)/(60+$J$5*0.5)))</x:f>
        <x:v>0.3125</x:v>
      </x:c>
      <x:c r="AF41" s="56" t="n">
        <x:f>IF($F$5+U41&gt;=65000,1,1-1/(1+($F$5+U41)/(60+$J$5*0.5)))</x:f>
        <x:v>0.3125</x:v>
      </x:c>
      <x:c r="AG41" s="56" t="n">
        <x:f>IF($F$5+V41&gt;=65000,1,1-1/(1+($F$5+V41)/(60+$J$5*0.5)))</x:f>
        <x:v>0.3125</x:v>
      </x:c>
      <x:c r="AH41" s="56" t="n">
        <x:f>1-((5+$J$5*2)/(10+$J$5*2+MAX(0,$D$5+O41)))*(1/(1+MAX(0,$D$5+O41)/(90+$J$5*0.25)))</x:f>
        <x:v>0.6086730988691773</x:v>
      </x:c>
      <x:c r="AI41" s="44" t="str">
        <x:v>MAW-Stats</x:v>
      </x:c>
      <x:c r="AJ41" s="44" t="str">
        <x:v>9d9+19</x:v>
      </x:c>
    </x:row>
    <x:row r="42" ht="49" customHeight="1">
      <x:c r="A42" s="44" t="n">
        <x:v>31</x:v>
      </x:c>
      <x:c r="B42" s="44" t="str">
        <x:v>Cronos</x:v>
      </x:c>
      <x:c r="C42" s="44" t="str">
        <x:v>1H-Axt</x:v>
      </x:c>
      <x:c r="D42" s="44" t="str">
        <x:v>MM6</x:v>
      </x:c>
      <x:c r="E42" s="50" t="n">
        <x:f>ROUND(X42*Y42,0)</x:f>
        <x:v>385</x:v>
      </x:c>
      <x:c r="F42" s="51" t="n">
        <x:f>ROUND(($B$5+N42*$H$5+W42)/(1-(AH42/2+(AA42+AB42+AC42+AD42+AE42+AF42)/16+AG42/8)),0)</x:f>
        <x:v>5282</x:v>
      </x:c>
      <x:c r="G42" s="51" t="n">
        <x:f>F42-$B$8</x:f>
        <x:v>1440</x:v>
      </x:c>
      <x:c r="H42" s="44" t="str">
        <x:v>Nein</x:v>
      </x:c>
      <x:c r="I42" s="44" t="str">
        <x:v>+120 Endurance, −60 Luck vor Levelskalierung.</x:v>
      </x:c>
      <x:c r="J42" s="44" t="str">
        <x:v>Keine zusätzliche Schadenswirkung im MAW-Skript nachgewiesen.</x:v>
      </x:c>
      <x:c r="K42" s="44" t="str">
        <x:v>—</x:v>
      </x:c>
      <x:c r="L42" s="44" t="str">
        <x:v>Keine separaten Procs.</x:v>
      </x:c>
      <x:c r="M42" s="44" t="str">
        <x:v>https://github.com/Malekitsu/Maw-Mod-MMMerge/blob/4.5/Scripts/General/zzMaw-Items.lua</x:v>
      </x:c>
      <x:c r="N42" s="54" t="n">
        <x:v>150</x:v>
      </x:c>
      <x:c r="O42" s="54" t="n">
        <x:v>0</x:v>
      </x:c>
      <x:c r="P42" s="54" t="n">
        <x:v>0</x:v>
      </x:c>
      <x:c r="Q42" s="54" t="n">
        <x:v>0</x:v>
      </x:c>
      <x:c r="R42" s="54" t="n">
        <x:v>0</x:v>
      </x:c>
      <x:c r="S42" s="54" t="n">
        <x:v>0</x:v>
      </x:c>
      <x:c r="T42" s="54" t="n">
        <x:v>0</x:v>
      </x:c>
      <x:c r="U42" s="54" t="n">
        <x:v>0</x:v>
      </x:c>
      <x:c r="V42" s="54" t="n">
        <x:v>0</x:v>
      </x:c>
      <x:c r="W42" s="54" t="n">
        <x:v>0</x:v>
      </x:c>
      <x:c r="X42" s="44" t="n">
        <x:v>385</x:v>
      </x:c>
      <x:c r="Y42" s="44" t="n">
        <x:v>1</x:v>
      </x:c>
      <x:c r="Z42" s="44" t="n">
        <x:v>0</x:v>
      </x:c>
      <x:c r="AA42" s="56" t="n">
        <x:f>IF($F$5+P42&gt;=65000,1,1-1/(1+($F$5+P42)/(60+$J$5*0.5)))</x:f>
        <x:v>0.3125</x:v>
      </x:c>
      <x:c r="AB42" s="56" t="n">
        <x:f>IF($F$5+Q42&gt;=65000,1,1-1/(1+($F$5+Q42)/(60+$J$5*0.5)))</x:f>
        <x:v>0.3125</x:v>
      </x:c>
      <x:c r="AC42" s="56" t="n">
        <x:f>IF($F$5+R42&gt;=65000,1,1-1/(1+($F$5+R42)/(60+$J$5*0.5)))</x:f>
        <x:v>0.3125</x:v>
      </x:c>
      <x:c r="AD42" s="56" t="n">
        <x:f>IF($F$5+S42&gt;=65000,1,1-1/(1+($F$5+S42)/(60+$J$5*0.5)))</x:f>
        <x:v>0.3125</x:v>
      </x:c>
      <x:c r="AE42" s="56" t="n">
        <x:f>IF($F$5+T42&gt;=65000,1,1-1/(1+($F$5+T42)/(60+$J$5*0.5)))</x:f>
        <x:v>0.3125</x:v>
      </x:c>
      <x:c r="AF42" s="56" t="n">
        <x:f>IF($F$5+U42&gt;=65000,1,1-1/(1+($F$5+U42)/(60+$J$5*0.5)))</x:f>
        <x:v>0.3125</x:v>
      </x:c>
      <x:c r="AG42" s="56" t="n">
        <x:f>IF($F$5+V42&gt;=65000,1,1-1/(1+($F$5+V42)/(60+$J$5*0.5)))</x:f>
        <x:v>0.3125</x:v>
      </x:c>
      <x:c r="AH42" s="56" t="n">
        <x:f>1-((5+$J$5*2)/(10+$J$5*2+MAX(0,$D$5+O42)))*(1/(1+MAX(0,$D$5+O42)/(90+$J$5*0.25)))</x:f>
        <x:v>0.6462865716429107</x:v>
      </x:c>
      <x:c r="AI42" s="44" t="str">
        <x:v>MAW-Stats</x:v>
      </x:c>
      <x:c r="AJ42" s="44" t="str">
        <x:v>8d4+16</x:v>
      </x:c>
    </x:row>
    <x:row r="43" ht="49" customHeight="1">
      <x:c r="A43" s="44" t="n">
        <x:v>32</x:v>
      </x:c>
      <x:c r="B43" s="44" t="str">
        <x:v>Charele</x:v>
      </x:c>
      <x:c r="C43" s="44" t="str">
        <x:v>Speer</x:v>
      </x:c>
      <x:c r="D43" s="44" t="str">
        <x:v>MM7</x:v>
      </x:c>
      <x:c r="E43" s="50" t="n">
        <x:f>ROUND(X43*Y43,0)</x:f>
        <x:v>383</x:v>
      </x:c>
      <x:c r="F43" s="51" t="n">
        <x:f>ROUND(($B$5+N43*$H$5+W43)/(1-(AH43/2+(AA43+AB43+AC43+AD43+AE43+AF43)/16+AG43/8)),0)</x:f>
        <x:v>3842</x:v>
      </x:c>
      <x:c r="G43" s="51" t="n">
        <x:f>F43-$B$8</x:f>
        <x:v>0</x:v>
      </x:c>
      <x:c r="H43" s="44" t="str">
        <x:v>Nein</x:v>
      </x:c>
      <x:c r="I43" s="44" t="str">
        <x:v>Keine spezifischen Defensivboni dokumentiert.</x:v>
      </x:c>
      <x:c r="J43" s="44" t="str">
        <x:v>Hoher physischer Grundschaden ohne klaren Trefferproc.</x:v>
      </x:c>
      <x:c r="K43" s="44" t="str">
        <x:v>1H/2H-fähig.</x:v>
      </x:c>
      <x:c r="L43" s="44" t="str">
        <x:v>Keine besonderen Schadensprocs.</x:v>
      </x:c>
      <x:c r="M43" s="44" t="str">
        <x:v>https://github.com/Malekitsu/Maw-Mod-MMMerge/blob/4.5/Scripts/General/zzMaw-Items.lua</x:v>
      </x:c>
      <x:c r="N43" s="54" t="n">
        <x:v>0</x:v>
      </x:c>
      <x:c r="O43" s="54" t="n">
        <x:v>0</x:v>
      </x:c>
      <x:c r="P43" s="54" t="n">
        <x:v>0</x:v>
      </x:c>
      <x:c r="Q43" s="54" t="n">
        <x:v>0</x:v>
      </x:c>
      <x:c r="R43" s="54" t="n">
        <x:v>0</x:v>
      </x:c>
      <x:c r="S43" s="54" t="n">
        <x:v>0</x:v>
      </x:c>
      <x:c r="T43" s="54" t="n">
        <x:v>0</x:v>
      </x:c>
      <x:c r="U43" s="54" t="n">
        <x:v>0</x:v>
      </x:c>
      <x:c r="V43" s="54" t="n">
        <x:v>0</x:v>
      </x:c>
      <x:c r="W43" s="54" t="n">
        <x:v>0</x:v>
      </x:c>
      <x:c r="X43" s="44" t="n">
        <x:v>383</x:v>
      </x:c>
      <x:c r="Y43" s="44" t="n">
        <x:v>1</x:v>
      </x:c>
      <x:c r="Z43" s="44" t="n">
        <x:v>0</x:v>
      </x:c>
      <x:c r="AA43" s="56" t="n">
        <x:f>IF($F$5+P43&gt;=65000,1,1-1/(1+($F$5+P43)/(60+$J$5*0.5)))</x:f>
        <x:v>0.3125</x:v>
      </x:c>
      <x:c r="AB43" s="56" t="n">
        <x:f>IF($F$5+Q43&gt;=65000,1,1-1/(1+($F$5+Q43)/(60+$J$5*0.5)))</x:f>
        <x:v>0.3125</x:v>
      </x:c>
      <x:c r="AC43" s="56" t="n">
        <x:f>IF($F$5+R43&gt;=65000,1,1-1/(1+($F$5+R43)/(60+$J$5*0.5)))</x:f>
        <x:v>0.3125</x:v>
      </x:c>
      <x:c r="AD43" s="56" t="n">
        <x:f>IF($F$5+S43&gt;=65000,1,1-1/(1+($F$5+S43)/(60+$J$5*0.5)))</x:f>
        <x:v>0.3125</x:v>
      </x:c>
      <x:c r="AE43" s="56" t="n">
        <x:f>IF($F$5+T43&gt;=65000,1,1-1/(1+($F$5+T43)/(60+$J$5*0.5)))</x:f>
        <x:v>0.3125</x:v>
      </x:c>
      <x:c r="AF43" s="56" t="n">
        <x:f>IF($F$5+U43&gt;=65000,1,1-1/(1+($F$5+U43)/(60+$J$5*0.5)))</x:f>
        <x:v>0.3125</x:v>
      </x:c>
      <x:c r="AG43" s="56" t="n">
        <x:f>IF($F$5+V43&gt;=65000,1,1-1/(1+($F$5+V43)/(60+$J$5*0.5)))</x:f>
        <x:v>0.3125</x:v>
      </x:c>
      <x:c r="AH43" s="56" t="n">
        <x:f>1-((5+$J$5*2)/(10+$J$5*2+MAX(0,$D$5+O43)))*(1/(1+MAX(0,$D$5+O43)/(90+$J$5*0.25)))</x:f>
        <x:v>0.6462865716429107</x:v>
      </x:c>
      <x:c r="AI43" s="44" t="str">
        <x:v>Itemdaten</x:v>
      </x:c>
      <x:c r="AJ43" s="44" t="str">
        <x:v>9d9+18</x:v>
      </x:c>
    </x:row>
    <x:row r="44" ht="49" customHeight="1">
      <x:c r="A44" s="44" t="n">
        <x:v>33</x:v>
      </x:c>
      <x:c r="B44" s="44" t="str">
        <x:v>Tournament Bow</x:v>
      </x:c>
      <x:c r="C44" s="44" t="str">
        <x:v>Bogen</x:v>
      </x:c>
      <x:c r="D44" s="44" t="str">
        <x:v>MM8</x:v>
      </x:c>
      <x:c r="E44" s="50" t="n">
        <x:f>ROUND(X44*Y44,0)</x:f>
        <x:v>382</x:v>
      </x:c>
      <x:c r="F44" s="51" t="n">
        <x:f>ROUND(($B$5+N44*$H$5+W44)/(1-(AH44/2+(AA44+AB44+AC44+AD44+AE44+AF44)/16+AG44/8)),0)</x:f>
        <x:v>3562</x:v>
      </x:c>
      <x:c r="G44" s="51" t="n">
        <x:f>F44-$B$8</x:f>
        <x:v>-280</x:v>
      </x:c>
      <x:c r="H44" s="44" t="str">
        <x:v>Nein</x:v>
      </x:c>
      <x:c r="I44" s="44" t="str">
        <x:v>+100 Accuracy, −20 AC laut Itemtext; AC-Code nicht separat eingetragen.</x:v>
      </x:c>
      <x:c r="J44" s="44" t="str">
        <x:v>Bow-Skillbonus (+4 MAW-Code) und hohe Accuracy; kein zusätzlicher Trefferproc.</x:v>
      </x:c>
      <x:c r="K44" s="44" t="str">
        <x:v>—</x:v>
      </x:c>
      <x:c r="L44" s="44" t="str">
        <x:v>Skillbonus in Modell-DPS.</x:v>
      </x:c>
      <x:c r="M44" s="44" t="str">
        <x:v>https://github.com/Malekitsu/Maw-Mod-MMMerge/blob/4.5/Scripts/General/zzMaw-Items.lua</x:v>
      </x:c>
      <x:c r="N44" s="54" t="n">
        <x:v>0</x:v>
      </x:c>
      <x:c r="O44" s="54" t="n">
        <x:v>-25</x:v>
      </x:c>
      <x:c r="P44" s="54" t="n">
        <x:v>0</x:v>
      </x:c>
      <x:c r="Q44" s="54" t="n">
        <x:v>0</x:v>
      </x:c>
      <x:c r="R44" s="54" t="n">
        <x:v>0</x:v>
      </x:c>
      <x:c r="S44" s="54" t="n">
        <x:v>0</x:v>
      </x:c>
      <x:c r="T44" s="54" t="n">
        <x:v>0</x:v>
      </x:c>
      <x:c r="U44" s="54" t="n">
        <x:v>0</x:v>
      </x:c>
      <x:c r="V44" s="54" t="n">
        <x:v>0</x:v>
      </x:c>
      <x:c r="W44" s="54" t="n">
        <x:v>0</x:v>
      </x:c>
      <x:c r="X44" s="44" t="n">
        <x:v>382</x:v>
      </x:c>
      <x:c r="Y44" s="44" t="n">
        <x:v>1</x:v>
      </x:c>
      <x:c r="Z44" s="44" t="n">
        <x:v>0</x:v>
      </x:c>
      <x:c r="AA44" s="56" t="n">
        <x:f>IF($F$5+P44&gt;=65000,1,1-1/(1+($F$5+P44)/(60+$J$5*0.5)))</x:f>
        <x:v>0.3125</x:v>
      </x:c>
      <x:c r="AB44" s="56" t="n">
        <x:f>IF($F$5+Q44&gt;=65000,1,1-1/(1+($F$5+Q44)/(60+$J$5*0.5)))</x:f>
        <x:v>0.3125</x:v>
      </x:c>
      <x:c r="AC44" s="56" t="n">
        <x:f>IF($F$5+R44&gt;=65000,1,1-1/(1+($F$5+R44)/(60+$J$5*0.5)))</x:f>
        <x:v>0.3125</x:v>
      </x:c>
      <x:c r="AD44" s="56" t="n">
        <x:f>IF($F$5+S44&gt;=65000,1,1-1/(1+($F$5+S44)/(60+$J$5*0.5)))</x:f>
        <x:v>0.3125</x:v>
      </x:c>
      <x:c r="AE44" s="56" t="n">
        <x:f>IF($F$5+T44&gt;=65000,1,1-1/(1+($F$5+T44)/(60+$J$5*0.5)))</x:f>
        <x:v>0.3125</x:v>
      </x:c>
      <x:c r="AF44" s="56" t="n">
        <x:f>IF($F$5+U44&gt;=65000,1,1-1/(1+($F$5+U44)/(60+$J$5*0.5)))</x:f>
        <x:v>0.3125</x:v>
      </x:c>
      <x:c r="AG44" s="56" t="n">
        <x:f>IF($F$5+V44&gt;=65000,1,1-1/(1+($F$5+V44)/(60+$J$5*0.5)))</x:f>
        <x:v>0.3125</x:v>
      </x:c>
      <x:c r="AH44" s="56" t="n">
        <x:f>1-((5+$J$5*2)/(10+$J$5*2+MAX(0,$D$5+O44)))*(1/(1+MAX(0,$D$5+O44)/(90+$J$5*0.25)))</x:f>
        <x:v>0.5646352723915051</x:v>
      </x:c>
      <x:c r="AI44" s="44" t="str">
        <x:v>Skript + Text</x:v>
      </x:c>
      <x:c r="AJ44" s="44" t="str">
        <x:v>12d3+14</x:v>
      </x:c>
    </x:row>
    <x:row r="45" ht="49" customHeight="1">
      <x:c r="A45" s="44" t="n">
        <x:v>34</x:v>
      </x:c>
      <x:c r="B45" s="44" t="str">
        <x:v>Mash</x:v>
      </x:c>
      <x:c r="C45" s="44" t="str">
        <x:v>Mace</x:v>
      </x:c>
      <x:c r="D45" s="44" t="str">
        <x:v>MM7</x:v>
      </x:c>
      <x:c r="E45" s="50" t="n">
        <x:f>ROUND(X45*Y45,0)</x:f>
        <x:v>357</x:v>
      </x:c>
      <x:c r="F45" s="51" t="n">
        <x:f>ROUND(($B$5+N45*$H$5+W45)/(1-(AH45/2+(AA45+AB45+AC45+AD45+AE45+AF45)/16+AG45/8)),0)</x:f>
        <x:v>3842</x:v>
      </x:c>
      <x:c r="G45" s="51" t="n">
        <x:f>F45-$B$8</x:f>
        <x:v>0</x:v>
      </x:c>
      <x:c r="H45" s="44" t="str">
        <x:v>Nein</x:v>
      </x:c>
      <x:c r="I45" s="44" t="str">
        <x:v>+150 Might, −40 Speed/Intellect/Personality vor Skalierung.</x:v>
      </x:c>
      <x:c r="J45" s="44" t="str">
        <x:v>Großer Might-Bonus; etwas langsamer durch Speed-Malus.</x:v>
      </x:c>
      <x:c r="K45" s="44" t="str">
        <x:v>—</x:v>
      </x:c>
      <x:c r="L45" s="44" t="str">
        <x:v>Attributboni sind in DPS berücksichtigt.</x:v>
      </x:c>
      <x:c r="M45" s="44" t="str">
        <x:v>https://github.com/Malekitsu/Maw-Mod-MMMerge/blob/4.5/Scripts/General/zzMaw-Items.lua</x:v>
      </x:c>
      <x:c r="N45" s="54" t="n">
        <x:v>0</x:v>
      </x:c>
      <x:c r="O45" s="54" t="n">
        <x:v>0</x:v>
      </x:c>
      <x:c r="P45" s="54" t="n">
        <x:v>0</x:v>
      </x:c>
      <x:c r="Q45" s="54" t="n">
        <x:v>0</x:v>
      </x:c>
      <x:c r="R45" s="54" t="n">
        <x:v>0</x:v>
      </x:c>
      <x:c r="S45" s="54" t="n">
        <x:v>0</x:v>
      </x:c>
      <x:c r="T45" s="54" t="n">
        <x:v>0</x:v>
      </x:c>
      <x:c r="U45" s="54" t="n">
        <x:v>0</x:v>
      </x:c>
      <x:c r="V45" s="54" t="n">
        <x:v>0</x:v>
      </x:c>
      <x:c r="W45" s="54" t="n">
        <x:v>0</x:v>
      </x:c>
      <x:c r="X45" s="44" t="n">
        <x:v>357</x:v>
      </x:c>
      <x:c r="Y45" s="44" t="n">
        <x:v>1</x:v>
      </x:c>
      <x:c r="Z45" s="44" t="n">
        <x:v>0</x:v>
      </x:c>
      <x:c r="AA45" s="56" t="n">
        <x:f>IF($F$5+P45&gt;=65000,1,1-1/(1+($F$5+P45)/(60+$J$5*0.5)))</x:f>
        <x:v>0.3125</x:v>
      </x:c>
      <x:c r="AB45" s="56" t="n">
        <x:f>IF($F$5+Q45&gt;=65000,1,1-1/(1+($F$5+Q45)/(60+$J$5*0.5)))</x:f>
        <x:v>0.3125</x:v>
      </x:c>
      <x:c r="AC45" s="56" t="n">
        <x:f>IF($F$5+R45&gt;=65000,1,1-1/(1+($F$5+R45)/(60+$J$5*0.5)))</x:f>
        <x:v>0.3125</x:v>
      </x:c>
      <x:c r="AD45" s="56" t="n">
        <x:f>IF($F$5+S45&gt;=65000,1,1-1/(1+($F$5+S45)/(60+$J$5*0.5)))</x:f>
        <x:v>0.3125</x:v>
      </x:c>
      <x:c r="AE45" s="56" t="n">
        <x:f>IF($F$5+T45&gt;=65000,1,1-1/(1+($F$5+T45)/(60+$J$5*0.5)))</x:f>
        <x:v>0.3125</x:v>
      </x:c>
      <x:c r="AF45" s="56" t="n">
        <x:f>IF($F$5+U45&gt;=65000,1,1-1/(1+($F$5+U45)/(60+$J$5*0.5)))</x:f>
        <x:v>0.3125</x:v>
      </x:c>
      <x:c r="AG45" s="56" t="n">
        <x:f>IF($F$5+V45&gt;=65000,1,1-1/(1+($F$5+V45)/(60+$J$5*0.5)))</x:f>
        <x:v>0.3125</x:v>
      </x:c>
      <x:c r="AH45" s="56" t="n">
        <x:f>1-((5+$J$5*2)/(10+$J$5*2+MAX(0,$D$5+O45)))*(1/(1+MAX(0,$D$5+O45)/(90+$J$5*0.25)))</x:f>
        <x:v>0.6462865716429107</x:v>
      </x:c>
      <x:c r="AI45" s="44" t="str">
        <x:v>MAW-Stats</x:v>
      </x:c>
      <x:c r="AJ45" s="44" t="str">
        <x:v>6d6+15</x:v>
      </x:c>
    </x:row>
    <x:row r="46" ht="49" customHeight="1">
      <x:c r="A46" s="44" t="n">
        <x:v>35</x:v>
      </x:c>
      <x:c r="B46" s="44" t="str">
        <x:v>Percival</x:v>
      </x:c>
      <x:c r="C46" s="44" t="str">
        <x:v>Bogen</x:v>
      </x:c>
      <x:c r="D46" s="44" t="str">
        <x:v>MM6</x:v>
      </x:c>
      <x:c r="E46" s="50" t="n">
        <x:f>ROUND(X46*Y46,0)</x:f>
        <x:v>355</x:v>
      </x:c>
      <x:c r="F46" s="51" t="n">
        <x:f>ROUND(($B$5+N46*$H$5+W46)/(1-(AH46/2+(AA46+AB46+AC46+AD46+AE46+AF46)/16+AG46/8)),0)</x:f>
        <x:v>3842</x:v>
      </x:c>
      <x:c r="G46" s="51" t="n">
        <x:f>F46-$B$8</x:f>
        <x:v>0</x:v>
      </x:c>
      <x:c r="H46" s="44" t="str">
        <x:v>Nein</x:v>
      </x:c>
      <x:c r="I46" s="44" t="str">
        <x:v>+40 Speed vor Skalierung; Bonus-Erholung reduziert Schaden nicht direkt.</x:v>
      </x:c>
      <x:c r="J46" s="44" t="str">
        <x:v>Feuerexplosion beim Pfeileinschlag (geskriptet), besonders gegen Gruppen; geringere Erholungszeit.</x:v>
      </x:c>
      <x:c r="K46" s="44" t="str">
        <x:v>—</x:v>
      </x:c>
      <x:c r="L46" s="44" t="str">
        <x:v>Explosion und Recovery-Bonus nicht in Modell-DPS.</x:v>
      </x:c>
      <x:c r="M46" s="44" t="str">
        <x:v>https://github.com/Malekitsu/Maw-Mod-MMMerge/blob/4.5/Scripts/Global/ExtraArtifacts.lua</x:v>
      </x:c>
      <x:c r="N46" s="54" t="n">
        <x:v>0</x:v>
      </x:c>
      <x:c r="O46" s="54" t="n">
        <x:v>0</x:v>
      </x:c>
      <x:c r="P46" s="54" t="n">
        <x:v>0</x:v>
      </x:c>
      <x:c r="Q46" s="54" t="n">
        <x:v>0</x:v>
      </x:c>
      <x:c r="R46" s="54" t="n">
        <x:v>0</x:v>
      </x:c>
      <x:c r="S46" s="54" t="n">
        <x:v>0</x:v>
      </x:c>
      <x:c r="T46" s="54" t="n">
        <x:v>0</x:v>
      </x:c>
      <x:c r="U46" s="54" t="n">
        <x:v>0</x:v>
      </x:c>
      <x:c r="V46" s="54" t="n">
        <x:v>0</x:v>
      </x:c>
      <x:c r="W46" s="54" t="n">
        <x:v>0</x:v>
      </x:c>
      <x:c r="X46" s="44" t="n">
        <x:v>355</x:v>
      </x:c>
      <x:c r="Y46" s="44" t="n">
        <x:v>1</x:v>
      </x:c>
      <x:c r="Z46" s="44" t="n">
        <x:v>0</x:v>
      </x:c>
      <x:c r="AA46" s="56" t="n">
        <x:f>IF($F$5+P46&gt;=65000,1,1-1/(1+($F$5+P46)/(60+$J$5*0.5)))</x:f>
        <x:v>0.3125</x:v>
      </x:c>
      <x:c r="AB46" s="56" t="n">
        <x:f>IF($F$5+Q46&gt;=65000,1,1-1/(1+($F$5+Q46)/(60+$J$5*0.5)))</x:f>
        <x:v>0.3125</x:v>
      </x:c>
      <x:c r="AC46" s="56" t="n">
        <x:f>IF($F$5+R46&gt;=65000,1,1-1/(1+($F$5+R46)/(60+$J$5*0.5)))</x:f>
        <x:v>0.3125</x:v>
      </x:c>
      <x:c r="AD46" s="56" t="n">
        <x:f>IF($F$5+S46&gt;=65000,1,1-1/(1+($F$5+S46)/(60+$J$5*0.5)))</x:f>
        <x:v>0.3125</x:v>
      </x:c>
      <x:c r="AE46" s="56" t="n">
        <x:f>IF($F$5+T46&gt;=65000,1,1-1/(1+($F$5+T46)/(60+$J$5*0.5)))</x:f>
        <x:v>0.3125</x:v>
      </x:c>
      <x:c r="AF46" s="56" t="n">
        <x:f>IF($F$5+U46&gt;=65000,1,1-1/(1+($F$5+U46)/(60+$J$5*0.5)))</x:f>
        <x:v>0.3125</x:v>
      </x:c>
      <x:c r="AG46" s="56" t="n">
        <x:f>IF($F$5+V46&gt;=65000,1,1-1/(1+($F$5+V46)/(60+$J$5*0.5)))</x:f>
        <x:v>0.3125</x:v>
      </x:c>
      <x:c r="AH46" s="56" t="n">
        <x:f>1-((5+$J$5*2)/(10+$J$5*2+MAX(0,$D$5+O46)))*(1/(1+MAX(0,$D$5+O46)/(90+$J$5*0.25)))</x:f>
        <x:v>0.6462865716429107</x:v>
      </x:c>
      <x:c r="AI46" s="44" t="str">
        <x:v>Skript</x:v>
      </x:c>
      <x:c r="AJ46" s="44" t="str">
        <x:v>6d2+13</x:v>
      </x:c>
    </x:row>
    <x:row r="47" ht="49" customHeight="1">
      <x:c r="A47" s="44" t="n">
        <x:v>36</x:v>
      </x:c>
      <x:c r="B47" s="44" t="str">
        <x:v>Staff of the Swamp</x:v>
      </x:c>
      <x:c r="C47" s="44" t="str">
        <x:v>Staff</x:v>
      </x:c>
      <x:c r="D47" s="44" t="str">
        <x:v>MM8</x:v>
      </x:c>
      <x:c r="E47" s="50" t="n">
        <x:f>ROUND(X47*Y47,0)</x:f>
        <x:v>352</x:v>
      </x:c>
      <x:c r="F47" s="51" t="n">
        <x:f>ROUND(($B$5+N47*$H$5+W47)/(1-(AH47/2+(AA47+AB47+AC47+AD47+AE47+AF47)/16+AG47/8)),0)</x:f>
        <x:v>3842</x:v>
      </x:c>
      <x:c r="G47" s="51" t="n">
        <x:f>F47-$B$8</x:f>
        <x:v>0</x:v>
      </x:c>
      <x:c r="H47" s="44" t="str">
        <x:v>Nein</x:v>
      </x:c>
      <x:c r="I47" s="44" t="str">
        <x:v>Immunität gegen Krankheit, Paralyse und Gift laut Itemdaten; Wert nicht in Vitality.</x:v>
      </x:c>
      <x:c r="J47" s="44" t="str">
        <x:v>Schutzstab ohne direkten Schadensproc; Shielding laut Text.</x:v>
      </x:c>
      <x:c r="K47" s="44" t="str">
        <x:v>—</x:v>
      </x:c>
      <x:c r="L47" s="44" t="str">
        <x:v>Immunitäten nicht als DPS.</x:v>
      </x:c>
      <x:c r="M47" s="44" t="str">
        <x:v>https://github.com/Malekitsu/Maw-Mod-MMMerge/blob/4.5/Scripts/Global/ExtraArtifacts.lua</x:v>
      </x:c>
      <x:c r="N47" s="54" t="n">
        <x:v>0</x:v>
      </x:c>
      <x:c r="O47" s="54" t="n">
        <x:v>0</x:v>
      </x:c>
      <x:c r="P47" s="54" t="n">
        <x:v>0</x:v>
      </x:c>
      <x:c r="Q47" s="54" t="n">
        <x:v>0</x:v>
      </x:c>
      <x:c r="R47" s="54" t="n">
        <x:v>0</x:v>
      </x:c>
      <x:c r="S47" s="54" t="n">
        <x:v>0</x:v>
      </x:c>
      <x:c r="T47" s="54" t="n">
        <x:v>0</x:v>
      </x:c>
      <x:c r="U47" s="54" t="n">
        <x:v>0</x:v>
      </x:c>
      <x:c r="V47" s="54" t="n">
        <x:v>0</x:v>
      </x:c>
      <x:c r="W47" s="54" t="n">
        <x:v>0</x:v>
      </x:c>
      <x:c r="X47" s="44" t="n">
        <x:v>352</x:v>
      </x:c>
      <x:c r="Y47" s="44" t="n">
        <x:v>1</x:v>
      </x:c>
      <x:c r="Z47" s="44" t="n">
        <x:v>0</x:v>
      </x:c>
      <x:c r="AA47" s="56" t="n">
        <x:f>IF($F$5+P47&gt;=65000,1,1-1/(1+($F$5+P47)/(60+$J$5*0.5)))</x:f>
        <x:v>0.3125</x:v>
      </x:c>
      <x:c r="AB47" s="56" t="n">
        <x:f>IF($F$5+Q47&gt;=65000,1,1-1/(1+($F$5+Q47)/(60+$J$5*0.5)))</x:f>
        <x:v>0.3125</x:v>
      </x:c>
      <x:c r="AC47" s="56" t="n">
        <x:f>IF($F$5+R47&gt;=65000,1,1-1/(1+($F$5+R47)/(60+$J$5*0.5)))</x:f>
        <x:v>0.3125</x:v>
      </x:c>
      <x:c r="AD47" s="56" t="n">
        <x:f>IF($F$5+S47&gt;=65000,1,1-1/(1+($F$5+S47)/(60+$J$5*0.5)))</x:f>
        <x:v>0.3125</x:v>
      </x:c>
      <x:c r="AE47" s="56" t="n">
        <x:f>IF($F$5+T47&gt;=65000,1,1-1/(1+($F$5+T47)/(60+$J$5*0.5)))</x:f>
        <x:v>0.3125</x:v>
      </x:c>
      <x:c r="AF47" s="56" t="n">
        <x:f>IF($F$5+U47&gt;=65000,1,1-1/(1+($F$5+U47)/(60+$J$5*0.5)))</x:f>
        <x:v>0.3125</x:v>
      </x:c>
      <x:c r="AG47" s="56" t="n">
        <x:f>IF($F$5+V47&gt;=65000,1,1-1/(1+($F$5+V47)/(60+$J$5*0.5)))</x:f>
        <x:v>0.3125</x:v>
      </x:c>
      <x:c r="AH47" s="56" t="n">
        <x:f>1-((5+$J$5*2)/(10+$J$5*2+MAX(0,$D$5+O47)))*(1/(1+MAX(0,$D$5+O47)/(90+$J$5*0.25)))</x:f>
        <x:v>0.6462865716429107</x:v>
      </x:c>
      <x:c r="AI47" s="44" t="str">
        <x:v>Itemtext</x:v>
      </x:c>
      <x:c r="AJ47" s="44" t="str">
        <x:v>8d4+11</x:v>
      </x:c>
    </x:row>
    <x:row r="48" ht="49" customHeight="1">
      <x:c r="A48" s="44" t="n">
        <x:v>37</x:v>
      </x:c>
      <x:c r="B48" s="44" t="str">
        <x:v>Merlin</x:v>
      </x:c>
      <x:c r="C48" s="44" t="str">
        <x:v>Staff</x:v>
      </x:c>
      <x:c r="D48" s="44" t="str">
        <x:v>MM6</x:v>
      </x:c>
      <x:c r="E48" s="50" t="n">
        <x:f>ROUND(X48*Y48,0)</x:f>
        <x:v>350</x:v>
      </x:c>
      <x:c r="F48" s="51" t="n">
        <x:f>ROUND(($B$5+N48*$H$5+W48)/(1-(AH48/2+(AA48+AB48+AC48+AD48+AE48+AF48)/16+AG48/8)),0)</x:f>
        <x:v>3842</x:v>
      </x:c>
      <x:c r="G48" s="51" t="n">
        <x:f>F48-$B$8</x:f>
        <x:v>0</x:v>
      </x:c>
      <x:c r="H48" s="44" t="str">
        <x:v>Nein</x:v>
      </x:c>
      <x:c r="I48" s="44" t="str">
        <x:v>+120 Intellect und Personality, +200 SP, SP-Regeneration; ohne Mana Shield kein Vitality-Bonus.</x:v>
      </x:c>
      <x:c r="J48" s="44" t="str">
        <x:v>Angriffserholungsbonus −20 (effektiv ca. −10 %) im Skript; als Caster-Waffe interessant.</x:v>
      </x:c>
      <x:c r="K48" s="44" t="str">
        <x:v>—</x:v>
      </x:c>
      <x:c r="L48" s="44" t="str">
        <x:v>Erholungseffekt nicht in Modell-DPS.</x:v>
      </x:c>
      <x:c r="M48" s="44" t="str">
        <x:v>https://github.com/Malekitsu/Maw-Mod-MMMerge/blob/4.5/Scripts/Global/ExtraArtifacts.lua</x:v>
      </x:c>
      <x:c r="N48" s="54" t="n">
        <x:v>0</x:v>
      </x:c>
      <x:c r="O48" s="54" t="n">
        <x:v>0</x:v>
      </x:c>
      <x:c r="P48" s="54" t="n">
        <x:v>0</x:v>
      </x:c>
      <x:c r="Q48" s="54" t="n">
        <x:v>0</x:v>
      </x:c>
      <x:c r="R48" s="54" t="n">
        <x:v>0</x:v>
      </x:c>
      <x:c r="S48" s="54" t="n">
        <x:v>0</x:v>
      </x:c>
      <x:c r="T48" s="54" t="n">
        <x:v>0</x:v>
      </x:c>
      <x:c r="U48" s="54" t="n">
        <x:v>0</x:v>
      </x:c>
      <x:c r="V48" s="54" t="n">
        <x:v>0</x:v>
      </x:c>
      <x:c r="W48" s="54" t="n">
        <x:v>0</x:v>
      </x:c>
      <x:c r="X48" s="44" t="n">
        <x:v>350</x:v>
      </x:c>
      <x:c r="Y48" s="44" t="n">
        <x:v>1</x:v>
      </x:c>
      <x:c r="Z48" s="44" t="n">
        <x:v>0</x:v>
      </x:c>
      <x:c r="AA48" s="56" t="n">
        <x:f>IF($F$5+P48&gt;=65000,1,1-1/(1+($F$5+P48)/(60+$J$5*0.5)))</x:f>
        <x:v>0.3125</x:v>
      </x:c>
      <x:c r="AB48" s="56" t="n">
        <x:f>IF($F$5+Q48&gt;=65000,1,1-1/(1+($F$5+Q48)/(60+$J$5*0.5)))</x:f>
        <x:v>0.3125</x:v>
      </x:c>
      <x:c r="AC48" s="56" t="n">
        <x:f>IF($F$5+R48&gt;=65000,1,1-1/(1+($F$5+R48)/(60+$J$5*0.5)))</x:f>
        <x:v>0.3125</x:v>
      </x:c>
      <x:c r="AD48" s="56" t="n">
        <x:f>IF($F$5+S48&gt;=65000,1,1-1/(1+($F$5+S48)/(60+$J$5*0.5)))</x:f>
        <x:v>0.3125</x:v>
      </x:c>
      <x:c r="AE48" s="56" t="n">
        <x:f>IF($F$5+T48&gt;=65000,1,1-1/(1+($F$5+T48)/(60+$J$5*0.5)))</x:f>
        <x:v>0.3125</x:v>
      </x:c>
      <x:c r="AF48" s="56" t="n">
        <x:f>IF($F$5+U48&gt;=65000,1,1-1/(1+($F$5+U48)/(60+$J$5*0.5)))</x:f>
        <x:v>0.3125</x:v>
      </x:c>
      <x:c r="AG48" s="56" t="n">
        <x:f>IF($F$5+V48&gt;=65000,1,1-1/(1+($F$5+V48)/(60+$J$5*0.5)))</x:f>
        <x:v>0.3125</x:v>
      </x:c>
      <x:c r="AH48" s="56" t="n">
        <x:f>1-((5+$J$5*2)/(10+$J$5*2+MAX(0,$D$5+O48)))*(1/(1+MAX(0,$D$5+O48)/(90+$J$5*0.25)))</x:f>
        <x:v>0.6462865716429107</x:v>
      </x:c>
      <x:c r="AI48" s="44" t="str">
        <x:v>Skript</x:v>
      </x:c>
      <x:c r="AJ48" s="44" t="str">
        <x:v>6d6+10</x:v>
      </x:c>
    </x:row>
    <x:row r="49" ht="49" customHeight="1">
      <x:c r="A49" s="44" t="n">
        <x:v>38</x:v>
      </x:c>
      <x:c r="B49" s="44" t="str">
        <x:v>Thor</x:v>
      </x:c>
      <x:c r="C49" s="44" t="str">
        <x:v>Mace</x:v>
      </x:c>
      <x:c r="D49" s="44" t="str">
        <x:v>MM6</x:v>
      </x:c>
      <x:c r="E49" s="50" t="n">
        <x:f>ROUND(X49*Y49,0)</x:f>
        <x:v>338</x:v>
      </x:c>
      <x:c r="F49" s="51" t="n">
        <x:f>ROUND(($B$5+N49*$H$5+W49)/(1-(AH49/2+(AA49+AB49+AC49+AD49+AE49+AF49)/16+AG49/8)),0)</x:f>
        <x:v>3842</x:v>
      </x:c>
      <x:c r="G49" s="51" t="n">
        <x:f>F49-$B$8</x:f>
        <x:v>0</x:v>
      </x:c>
      <x:c r="H49" s="44" t="str">
        <x:v>Nein</x:v>
      </x:c>
      <x:c r="I49" s="44" t="str">
        <x:v>+75 Might vor Levelskalierung.</x:v>
      </x:c>
      <x:c r="J49" s="44" t="str">
        <x:v>Geskripteter zusätzlicher Treffer-Schaden (10 Basis) und Spezialzauber beim Treffer.</x:v>
      </x:c>
      <x:c r="K49" s="44" t="str">
        <x:v>—</x:v>
      </x:c>
      <x:c r="L49" s="44" t="str">
        <x:v>Zauber und Bonus-Hit nicht in DPS.</x:v>
      </x:c>
      <x:c r="M49" s="44" t="str">
        <x:v>https://github.com/Malekitsu/Maw-Mod-MMMerge/blob/4.5/Scripts/Global/ExtraArtifacts.lua</x:v>
      </x:c>
      <x:c r="N49" s="54" t="n">
        <x:v>0</x:v>
      </x:c>
      <x:c r="O49" s="54" t="n">
        <x:v>0</x:v>
      </x:c>
      <x:c r="P49" s="54" t="n">
        <x:v>0</x:v>
      </x:c>
      <x:c r="Q49" s="54" t="n">
        <x:v>0</x:v>
      </x:c>
      <x:c r="R49" s="54" t="n">
        <x:v>0</x:v>
      </x:c>
      <x:c r="S49" s="54" t="n">
        <x:v>0</x:v>
      </x:c>
      <x:c r="T49" s="54" t="n">
        <x:v>0</x:v>
      </x:c>
      <x:c r="U49" s="54" t="n">
        <x:v>0</x:v>
      </x:c>
      <x:c r="V49" s="54" t="n">
        <x:v>0</x:v>
      </x:c>
      <x:c r="W49" s="54" t="n">
        <x:v>0</x:v>
      </x:c>
      <x:c r="X49" s="44" t="n">
        <x:v>338</x:v>
      </x:c>
      <x:c r="Y49" s="44" t="n">
        <x:v>1</x:v>
      </x:c>
      <x:c r="Z49" s="44" t="n">
        <x:v>0</x:v>
      </x:c>
      <x:c r="AA49" s="56" t="n">
        <x:f>IF($F$5+P49&gt;=65000,1,1-1/(1+($F$5+P49)/(60+$J$5*0.5)))</x:f>
        <x:v>0.3125</x:v>
      </x:c>
      <x:c r="AB49" s="56" t="n">
        <x:f>IF($F$5+Q49&gt;=65000,1,1-1/(1+($F$5+Q49)/(60+$J$5*0.5)))</x:f>
        <x:v>0.3125</x:v>
      </x:c>
      <x:c r="AC49" s="56" t="n">
        <x:f>IF($F$5+R49&gt;=65000,1,1-1/(1+($F$5+R49)/(60+$J$5*0.5)))</x:f>
        <x:v>0.3125</x:v>
      </x:c>
      <x:c r="AD49" s="56" t="n">
        <x:f>IF($F$5+S49&gt;=65000,1,1-1/(1+($F$5+S49)/(60+$J$5*0.5)))</x:f>
        <x:v>0.3125</x:v>
      </x:c>
      <x:c r="AE49" s="56" t="n">
        <x:f>IF($F$5+T49&gt;=65000,1,1-1/(1+($F$5+T49)/(60+$J$5*0.5)))</x:f>
        <x:v>0.3125</x:v>
      </x:c>
      <x:c r="AF49" s="56" t="n">
        <x:f>IF($F$5+U49&gt;=65000,1,1-1/(1+($F$5+U49)/(60+$J$5*0.5)))</x:f>
        <x:v>0.3125</x:v>
      </x:c>
      <x:c r="AG49" s="56" t="n">
        <x:f>IF($F$5+V49&gt;=65000,1,1-1/(1+($F$5+V49)/(60+$J$5*0.5)))</x:f>
        <x:v>0.3125</x:v>
      </x:c>
      <x:c r="AH49" s="56" t="n">
        <x:f>1-((5+$J$5*2)/(10+$J$5*2+MAX(0,$D$5+O49)))*(1/(1+MAX(0,$D$5+O49)/(90+$J$5*0.25)))</x:f>
        <x:v>0.6462865716429107</x:v>
      </x:c>
      <x:c r="AI49" s="44" t="str">
        <x:v>Skript</x:v>
      </x:c>
      <x:c r="AJ49" s="44" t="str">
        <x:v>8d5+14</x:v>
      </x:c>
    </x:row>
    <x:row r="50" ht="49" customHeight="1">
      <x:c r="A50" s="44" t="n">
        <x:v>39</x:v>
      </x:c>
      <x:c r="B50" s="44" t="str">
        <x:v>Spiritslayer</x:v>
      </x:c>
      <x:c r="C50" s="44" t="str">
        <x:v>Speer</x:v>
      </x:c>
      <x:c r="D50" s="44" t="str">
        <x:v>MM8</x:v>
      </x:c>
      <x:c r="E50" s="50" t="n">
        <x:f>ROUND(X50*Y50,0)</x:f>
        <x:v>309</x:v>
      </x:c>
      <x:c r="F50" s="51" t="n">
        <x:f>ROUND(($B$5+N50*$H$5+W50)/(1-(AH50/2+(AA50+AB50+AC50+AD50+AE50+AF50)/16+AG50/8)),0)</x:f>
        <x:v>3842</x:v>
      </x:c>
      <x:c r="G50" s="51" t="n">
        <x:f>F50-$B$8</x:f>
        <x:v>0</x:v>
      </x:c>
      <x:c r="H50" s="44" t="str">
        <x:v>Ja: Gegenstandstext</x:v>
      </x:c>
      <x:c r="I50" s="44" t="str">
        <x:v>+80 Might, −40 Luck vor Skalierung; Lebensraub separat.</x:v>
      </x:c>
      <x:c r="J50" s="44" t="str">
        <x:v>Vampiric laut Itemtext: heilt potenziell beim Treffer; Umsetzung im MAW-Leech-Code nicht vollständig nachgewiesen.</x:v>
      </x:c>
      <x:c r="K50" s="44" t="str">
        <x:v>1H/2H-fähig.</x:v>
      </x:c>
      <x:c r="L50" s="44" t="str">
        <x:v>Lifesteal nicht in Vitality oder DPS.</x:v>
      </x:c>
      <x:c r="M50" s="44" t="str">
        <x:v>https://github.com/Malekitsu/Maw-Mod-MMMerge/blob/4.5/Scripts/Global/ExtraArtifacts.lua</x:v>
      </x:c>
      <x:c r="N50" s="54" t="n">
        <x:v>0</x:v>
      </x:c>
      <x:c r="O50" s="54" t="n">
        <x:v>0</x:v>
      </x:c>
      <x:c r="P50" s="54" t="n">
        <x:v>0</x:v>
      </x:c>
      <x:c r="Q50" s="54" t="n">
        <x:v>0</x:v>
      </x:c>
      <x:c r="R50" s="54" t="n">
        <x:v>0</x:v>
      </x:c>
      <x:c r="S50" s="54" t="n">
        <x:v>0</x:v>
      </x:c>
      <x:c r="T50" s="54" t="n">
        <x:v>0</x:v>
      </x:c>
      <x:c r="U50" s="54" t="n">
        <x:v>0</x:v>
      </x:c>
      <x:c r="V50" s="54" t="n">
        <x:v>0</x:v>
      </x:c>
      <x:c r="W50" s="54" t="n">
        <x:v>0</x:v>
      </x:c>
      <x:c r="X50" s="44" t="n">
        <x:v>309</x:v>
      </x:c>
      <x:c r="Y50" s="44" t="n">
        <x:v>1</x:v>
      </x:c>
      <x:c r="Z50" s="44" t="n">
        <x:v>0</x:v>
      </x:c>
      <x:c r="AA50" s="56" t="n">
        <x:f>IF($F$5+P50&gt;=65000,1,1-1/(1+($F$5+P50)/(60+$J$5*0.5)))</x:f>
        <x:v>0.3125</x:v>
      </x:c>
      <x:c r="AB50" s="56" t="n">
        <x:f>IF($F$5+Q50&gt;=65000,1,1-1/(1+($F$5+Q50)/(60+$J$5*0.5)))</x:f>
        <x:v>0.3125</x:v>
      </x:c>
      <x:c r="AC50" s="56" t="n">
        <x:f>IF($F$5+R50&gt;=65000,1,1-1/(1+($F$5+R50)/(60+$J$5*0.5)))</x:f>
        <x:v>0.3125</x:v>
      </x:c>
      <x:c r="AD50" s="56" t="n">
        <x:f>IF($F$5+S50&gt;=65000,1,1-1/(1+($F$5+S50)/(60+$J$5*0.5)))</x:f>
        <x:v>0.3125</x:v>
      </x:c>
      <x:c r="AE50" s="56" t="n">
        <x:f>IF($F$5+T50&gt;=65000,1,1-1/(1+($F$5+T50)/(60+$J$5*0.5)))</x:f>
        <x:v>0.3125</x:v>
      </x:c>
      <x:c r="AF50" s="56" t="n">
        <x:f>IF($F$5+U50&gt;=65000,1,1-1/(1+($F$5+U50)/(60+$J$5*0.5)))</x:f>
        <x:v>0.3125</x:v>
      </x:c>
      <x:c r="AG50" s="56" t="n">
        <x:f>IF($F$5+V50&gt;=65000,1,1-1/(1+($F$5+V50)/(60+$J$5*0.5)))</x:f>
        <x:v>0.3125</x:v>
      </x:c>
      <x:c r="AH50" s="56" t="n">
        <x:f>1-((5+$J$5*2)/(10+$J$5*2+MAX(0,$D$5+O50)))*(1/(1+MAX(0,$D$5+O50)/(90+$J$5*0.25)))</x:f>
        <x:v>0.6462865716429107</x:v>
      </x:c>
      <x:c r="AI50" s="44" t="str">
        <x:v>Itemtext, Lifeleech ungeprüft</x:v>
      </x:c>
      <x:c r="AJ50" s="44" t="str">
        <x:v>5d9+16</x:v>
      </x:c>
    </x:row>
    <x:row r="51" ht="49" customHeight="1">
      <x:c r="A51" s="44" t="n">
        <x:v>40</x:v>
      </x:c>
      <x:c r="B51" s="44" t="str">
        <x:v>Ares</x:v>
      </x:c>
      <x:c r="C51" s="44" t="str">
        <x:v>Mace</x:v>
      </x:c>
      <x:c r="D51" s="44" t="str">
        <x:v>MM6</x:v>
      </x:c>
      <x:c r="E51" s="50" t="n">
        <x:f>ROUND(X51*Y51,0)</x:f>
        <x:v>303</x:v>
      </x:c>
      <x:c r="F51" s="51" t="n">
        <x:f>ROUND(($B$5+N51*$H$5+W51)/(1-(AH51/2+(AA51+AB51+AC51+AD51+AE51+AF51)/16+AG51/8)),0)</x:f>
        <x:v>3986</x:v>
      </x:c>
      <x:c r="G51" s="51" t="n">
        <x:f>F51-$B$8</x:f>
        <x:v>144</x:v>
      </x:c>
      <x:c r="H51" s="44" t="str">
        <x:v>Nein</x:v>
      </x:c>
      <x:c r="I51" s="44" t="str">
        <x:v>+100 Feuerresistenz vor Skalierung.</x:v>
      </x:c>
      <x:c r="J51" s="44" t="str">
        <x:v>Geskripteter Feuerschaden (+30 Basis je Treffer).</x:v>
      </x:c>
      <x:c r="K51" s="44" t="str">
        <x:v>—</x:v>
      </x:c>
      <x:c r="L51" s="44" t="str">
        <x:v>Feuerschaden nicht in phys. DPS.</x:v>
      </x:c>
      <x:c r="M51" s="44" t="str">
        <x:v>https://github.com/Malekitsu/Maw-Mod-MMMerge/blob/4.5/Scripts/Global/ExtraArtifacts.lua</x:v>
      </x:c>
      <x:c r="N51" s="54" t="n">
        <x:v>0</x:v>
      </x:c>
      <x:c r="O51" s="54" t="n">
        <x:v>0</x:v>
      </x:c>
      <x:c r="P51" s="54" t="n">
        <x:v>125</x:v>
      </x:c>
      <x:c r="Q51" s="54" t="n">
        <x:v>0</x:v>
      </x:c>
      <x:c r="R51" s="54" t="n">
        <x:v>0</x:v>
      </x:c>
      <x:c r="S51" s="54" t="n">
        <x:v>0</x:v>
      </x:c>
      <x:c r="T51" s="54" t="n">
        <x:v>0</x:v>
      </x:c>
      <x:c r="U51" s="54" t="n">
        <x:v>0</x:v>
      </x:c>
      <x:c r="V51" s="54" t="n">
        <x:v>0</x:v>
      </x:c>
      <x:c r="W51" s="54" t="n">
        <x:v>0</x:v>
      </x:c>
      <x:c r="X51" s="44" t="n">
        <x:v>303</x:v>
      </x:c>
      <x:c r="Y51" s="44" t="n">
        <x:v>1</x:v>
      </x:c>
      <x:c r="Z51" s="44" t="n">
        <x:v>0</x:v>
      </x:c>
      <x:c r="AA51" s="56" t="n">
        <x:f>IF($F$5+P51&gt;=65000,1,1-1/(1+($F$5+P51)/(60+$J$5*0.5)))</x:f>
        <x:v>0.6140350877192982</x:v>
      </x:c>
      <x:c r="AB51" s="56" t="n">
        <x:f>IF($F$5+Q51&gt;=65000,1,1-1/(1+($F$5+Q51)/(60+$J$5*0.5)))</x:f>
        <x:v>0.3125</x:v>
      </x:c>
      <x:c r="AC51" s="56" t="n">
        <x:f>IF($F$5+R51&gt;=65000,1,1-1/(1+($F$5+R51)/(60+$J$5*0.5)))</x:f>
        <x:v>0.3125</x:v>
      </x:c>
      <x:c r="AD51" s="56" t="n">
        <x:f>IF($F$5+S51&gt;=65000,1,1-1/(1+($F$5+S51)/(60+$J$5*0.5)))</x:f>
        <x:v>0.3125</x:v>
      </x:c>
      <x:c r="AE51" s="56" t="n">
        <x:f>IF($F$5+T51&gt;=65000,1,1-1/(1+($F$5+T51)/(60+$J$5*0.5)))</x:f>
        <x:v>0.3125</x:v>
      </x:c>
      <x:c r="AF51" s="56" t="n">
        <x:f>IF($F$5+U51&gt;=65000,1,1-1/(1+($F$5+U51)/(60+$J$5*0.5)))</x:f>
        <x:v>0.3125</x:v>
      </x:c>
      <x:c r="AG51" s="56" t="n">
        <x:f>IF($F$5+V51&gt;=65000,1,1-1/(1+($F$5+V51)/(60+$J$5*0.5)))</x:f>
        <x:v>0.3125</x:v>
      </x:c>
      <x:c r="AH51" s="56" t="n">
        <x:f>1-((5+$J$5*2)/(10+$J$5*2+MAX(0,$D$5+O51)))*(1/(1+MAX(0,$D$5+O51)/(90+$J$5*0.25)))</x:f>
        <x:v>0.6462865716429107</x:v>
      </x:c>
      <x:c r="AI51" s="44" t="str">
        <x:v>Skript + MAW-Stats</x:v>
      </x:c>
      <x:c r="AJ51" s="44" t="str">
        <x:v>8d4+16</x:v>
      </x:c>
    </x:row>
    <x:row r="52" ht="49" customHeight="1">
      <x:c r="A52" s="44" t="n">
        <x:v>41</x:v>
      </x:c>
      <x:c r="B52" s="44" t="str">
        <x:v>Scepter of Kings</x:v>
      </x:c>
      <x:c r="C52" s="44" t="str">
        <x:v>Mace</x:v>
      </x:c>
      <x:c r="D52" s="44" t="str">
        <x:v>MM8</x:v>
      </x:c>
      <x:c r="E52" s="50" t="n">
        <x:f>ROUND(X52*Y52,0)</x:f>
        <x:v>303</x:v>
      </x:c>
      <x:c r="F52" s="51" t="n">
        <x:f>ROUND(($B$5+N52*$H$5+W52)/(1-(AH52/2+(AA52+AB52+AC52+AD52+AE52+AF52)/16+AG52/8)),0)</x:f>
        <x:v>3842</x:v>
      </x:c>
      <x:c r="G52" s="51" t="n">
        <x:f>F52-$B$8</x:f>
        <x:v>0</x:v>
      </x:c>
      <x:c r="H52" s="44" t="str">
        <x:v>Nein</x:v>
      </x:c>
      <x:c r="I52" s="44" t="str">
        <x:v>+80 Personality vor Skalierung; HP-Regeneration ist nicht Teil des Vitality-Werts.</x:v>
      </x:c>
      <x:c r="J52" s="44" t="str">
        <x:v>Kein zusätzlicher Trefferproc; HP-Regeneration während des Tragens.</x:v>
      </x:c>
      <x:c r="K52" s="44" t="str">
        <x:v>—</x:v>
      </x:c>
      <x:c r="L52" s="44" t="str">
        <x:v>Heilung/Regeneration nicht in DPS.</x:v>
      </x:c>
      <x:c r="M52" s="44" t="str">
        <x:v>https://github.com/Malekitsu/Maw-Mod-MMMerge/blob/4.5/Scripts/General/zzMaw-Items.lua</x:v>
      </x:c>
      <x:c r="N52" s="54" t="n">
        <x:v>0</x:v>
      </x:c>
      <x:c r="O52" s="54" t="n">
        <x:v>0</x:v>
      </x:c>
      <x:c r="P52" s="54" t="n">
        <x:v>0</x:v>
      </x:c>
      <x:c r="Q52" s="54" t="n">
        <x:v>0</x:v>
      </x:c>
      <x:c r="R52" s="54" t="n">
        <x:v>0</x:v>
      </x:c>
      <x:c r="S52" s="54" t="n">
        <x:v>0</x:v>
      </x:c>
      <x:c r="T52" s="54" t="n">
        <x:v>0</x:v>
      </x:c>
      <x:c r="U52" s="54" t="n">
        <x:v>0</x:v>
      </x:c>
      <x:c r="V52" s="54" t="n">
        <x:v>0</x:v>
      </x:c>
      <x:c r="W52" s="54" t="n">
        <x:v>0</x:v>
      </x:c>
      <x:c r="X52" s="44" t="n">
        <x:v>303</x:v>
      </x:c>
      <x:c r="Y52" s="44" t="n">
        <x:v>1</x:v>
      </x:c>
      <x:c r="Z52" s="44" t="n">
        <x:v>3</x:v>
      </x:c>
      <x:c r="AA52" s="56" t="n">
        <x:f>IF($F$5+P52&gt;=65000,1,1-1/(1+($F$5+P52)/(60+$J$5*0.5)))</x:f>
        <x:v>0.3125</x:v>
      </x:c>
      <x:c r="AB52" s="56" t="n">
        <x:f>IF($F$5+Q52&gt;=65000,1,1-1/(1+($F$5+Q52)/(60+$J$5*0.5)))</x:f>
        <x:v>0.3125</x:v>
      </x:c>
      <x:c r="AC52" s="56" t="n">
        <x:f>IF($F$5+R52&gt;=65000,1,1-1/(1+($F$5+R52)/(60+$J$5*0.5)))</x:f>
        <x:v>0.3125</x:v>
      </x:c>
      <x:c r="AD52" s="56" t="n">
        <x:f>IF($F$5+S52&gt;=65000,1,1-1/(1+($F$5+S52)/(60+$J$5*0.5)))</x:f>
        <x:v>0.3125</x:v>
      </x:c>
      <x:c r="AE52" s="56" t="n">
        <x:f>IF($F$5+T52&gt;=65000,1,1-1/(1+($F$5+T52)/(60+$J$5*0.5)))</x:f>
        <x:v>0.3125</x:v>
      </x:c>
      <x:c r="AF52" s="56" t="n">
        <x:f>IF($F$5+U52&gt;=65000,1,1-1/(1+($F$5+U52)/(60+$J$5*0.5)))</x:f>
        <x:v>0.3125</x:v>
      </x:c>
      <x:c r="AG52" s="56" t="n">
        <x:f>IF($F$5+V52&gt;=65000,1,1-1/(1+($F$5+V52)/(60+$J$5*0.5)))</x:f>
        <x:v>0.3125</x:v>
      </x:c>
      <x:c r="AH52" s="56" t="n">
        <x:f>1-((5+$J$5*2)/(10+$J$5*2+MAX(0,$D$5+O52)))*(1/(1+MAX(0,$D$5+O52)/(90+$J$5*0.25)))</x:f>
        <x:v>0.6462865716429107</x:v>
      </x:c>
      <x:c r="AI52" s="44" t="str">
        <x:v>Skript + MAW-Stats</x:v>
      </x:c>
      <x:c r="AJ52" s="44" t="str">
        <x:v>8d4+16</x:v>
      </x:c>
    </x:row>
    <x:row r="53" ht="49" customHeight="1">
      <x:c r="A53" s="44" t="n">
        <x:v>42</x:v>
      </x:c>
      <x:c r="B53" s="44" t="str">
        <x:v>Splitter</x:v>
      </x:c>
      <x:c r="C53" s="44" t="str">
        <x:v>1H-Axt</x:v>
      </x:c>
      <x:c r="D53" s="44" t="str">
        <x:v>MM7</x:v>
      </x:c>
      <x:c r="E53" s="50" t="n">
        <x:f>ROUND(X53*Y53,0)</x:f>
        <x:v>303</x:v>
      </x:c>
      <x:c r="F53" s="51" t="n">
        <x:f>ROUND(($B$5+N53*$H$5+W53)/(1-(AH53/2+(AA53+AB53+AC53+AD53+AE53+AF53)/16+AG53/8)),0)</x:f>
        <x:v>4187</x:v>
      </x:c>
      <x:c r="G53" s="51" t="n">
        <x:f>F53-$B$8</x:f>
        <x:v>345</x:v>
      </x:c>
      <x:c r="H53" s="44" t="str">
        <x:v>Nein</x:v>
      </x:c>
      <x:c r="I53" s="44" t="str">
        <x:v>Extrem hohe Feuerresistenz (+65000), im MAW-Modell praktisch Feuerimmunität.</x:v>
      </x:c>
      <x:c r="J53" s="44" t="str">
        <x:v>Explosive Feuerwirkung bei Treffern; zusätzlich Feuer-Zusatzschaden (10 Basis).</x:v>
      </x:c>
      <x:c r="K53" s="44" t="str">
        <x:v>—</x:v>
      </x:c>
      <x:c r="L53" s="44" t="str">
        <x:v>Explosion/Fläche nicht in DPS.</x:v>
      </x:c>
      <x:c r="M53" s="44" t="str">
        <x:v>https://github.com/Malekitsu/Maw-Mod-MMMerge/blob/4.5/Scripts/Global/ExtraArtifacts.lua</x:v>
      </x:c>
      <x:c r="N53" s="54" t="n">
        <x:v>0</x:v>
      </x:c>
      <x:c r="O53" s="54" t="n">
        <x:v>0</x:v>
      </x:c>
      <x:c r="P53" s="54" t="n">
        <x:v>81250</x:v>
      </x:c>
      <x:c r="Q53" s="54" t="n">
        <x:v>0</x:v>
      </x:c>
      <x:c r="R53" s="54" t="n">
        <x:v>0</x:v>
      </x:c>
      <x:c r="S53" s="54" t="n">
        <x:v>0</x:v>
      </x:c>
      <x:c r="T53" s="54" t="n">
        <x:v>0</x:v>
      </x:c>
      <x:c r="U53" s="54" t="n">
        <x:v>0</x:v>
      </x:c>
      <x:c r="V53" s="54" t="n">
        <x:v>0</x:v>
      </x:c>
      <x:c r="W53" s="54" t="n">
        <x:v>0</x:v>
      </x:c>
      <x:c r="X53" s="44" t="n">
        <x:v>303</x:v>
      </x:c>
      <x:c r="Y53" s="44" t="n">
        <x:v>1</x:v>
      </x:c>
      <x:c r="Z53" s="44" t="n">
        <x:v>0</x:v>
      </x:c>
      <x:c r="AA53" s="56" t="n">
        <x:f>IF($F$5+P53&gt;=65000,1,1-1/(1+($F$5+P53)/(60+$J$5*0.5)))</x:f>
        <x:v>1</x:v>
      </x:c>
      <x:c r="AB53" s="56" t="n">
        <x:f>IF($F$5+Q53&gt;=65000,1,1-1/(1+($F$5+Q53)/(60+$J$5*0.5)))</x:f>
        <x:v>0.3125</x:v>
      </x:c>
      <x:c r="AC53" s="56" t="n">
        <x:f>IF($F$5+R53&gt;=65000,1,1-1/(1+($F$5+R53)/(60+$J$5*0.5)))</x:f>
        <x:v>0.3125</x:v>
      </x:c>
      <x:c r="AD53" s="56" t="n">
        <x:f>IF($F$5+S53&gt;=65000,1,1-1/(1+($F$5+S53)/(60+$J$5*0.5)))</x:f>
        <x:v>0.3125</x:v>
      </x:c>
      <x:c r="AE53" s="56" t="n">
        <x:f>IF($F$5+T53&gt;=65000,1,1-1/(1+($F$5+T53)/(60+$J$5*0.5)))</x:f>
        <x:v>0.3125</x:v>
      </x:c>
      <x:c r="AF53" s="56" t="n">
        <x:f>IF($F$5+U53&gt;=65000,1,1-1/(1+($F$5+U53)/(60+$J$5*0.5)))</x:f>
        <x:v>0.3125</x:v>
      </x:c>
      <x:c r="AG53" s="56" t="n">
        <x:f>IF($F$5+V53&gt;=65000,1,1-1/(1+($F$5+V53)/(60+$J$5*0.5)))</x:f>
        <x:v>0.3125</x:v>
      </x:c>
      <x:c r="AH53" s="56" t="n">
        <x:f>1-((5+$J$5*2)/(10+$J$5*2+MAX(0,$D$5+O53)))*(1/(1+MAX(0,$D$5+O53)/(90+$J$5*0.25)))</x:f>
        <x:v>0.6462865716429107</x:v>
      </x:c>
      <x:c r="AI53" s="44" t="str">
        <x:v>Skript + MAW-Stats</x:v>
      </x:c>
      <x:c r="AJ53" s="44" t="str">
        <x:v>4d2+13</x:v>
      </x:c>
    </x:row>
    <x:row r="54" ht="49" customHeight="1">
      <x:c r="A54" s="44" t="n">
        <x:v>43</x:v>
      </x:c>
      <x:c r="B54" s="44" t="str">
        <x:v>Guardian</x:v>
      </x:c>
      <x:c r="C54" s="44" t="str">
        <x:v>Speer</x:v>
      </x:c>
      <x:c r="D54" s="44" t="str">
        <x:v>MM8</x:v>
      </x:c>
      <x:c r="E54" s="50" t="n">
        <x:f>ROUND(X54*Y54,0)</x:f>
        <x:v>301</x:v>
      </x:c>
      <x:c r="F54" s="51" t="n">
        <x:f>ROUND(($B$5+N54*$H$5+W54)/(1-(AH54/2+(AA54+AB54+AC54+AD54+AE54+AF54)/16+AG54/8)),0)</x:f>
        <x:v>4082</x:v>
      </x:c>
      <x:c r="G54" s="51" t="n">
        <x:f>F54-$B$8</x:f>
        <x:v>240</x:v>
      </x:c>
      <x:c r="H54" s="44" t="str">
        <x:v>Nein</x:v>
      </x:c>
      <x:c r="I54" s="44" t="str">
        <x:v>+20 auf alle Attribute vor Levelskalierung; Endurance/Speed enthalten.</x:v>
      </x:c>
      <x:c r="J54" s="44" t="str">
        <x:v>Körperschaden pro Treffer; zusätzlich kleine Boni auf alle Hauptattribute.</x:v>
      </x:c>
      <x:c r="K54" s="44" t="str">
        <x:v>1H/2H-fähig (Hellebarde).</x:v>
      </x:c>
      <x:c r="L54" s="44" t="str">
        <x:v>Körperschaden nicht in DPS.</x:v>
      </x:c>
      <x:c r="M54" s="44" t="str">
        <x:v>https://github.com/Malekitsu/Maw-Mod-MMMerge/blob/4.5/Scripts/General/zzMaw-Items.lua</x:v>
      </x:c>
      <x:c r="N54" s="54" t="n">
        <x:v>25</x:v>
      </x:c>
      <x:c r="O54" s="54" t="n">
        <x:v>0</x:v>
      </x:c>
      <x:c r="P54" s="54" t="n">
        <x:v>0</x:v>
      </x:c>
      <x:c r="Q54" s="54" t="n">
        <x:v>0</x:v>
      </x:c>
      <x:c r="R54" s="54" t="n">
        <x:v>0</x:v>
      </x:c>
      <x:c r="S54" s="54" t="n">
        <x:v>0</x:v>
      </x:c>
      <x:c r="T54" s="54" t="n">
        <x:v>0</x:v>
      </x:c>
      <x:c r="U54" s="54" t="n">
        <x:v>0</x:v>
      </x:c>
      <x:c r="V54" s="54" t="n">
        <x:v>0</x:v>
      </x:c>
      <x:c r="W54" s="54" t="n">
        <x:v>0</x:v>
      </x:c>
      <x:c r="X54" s="44" t="n">
        <x:v>301</x:v>
      </x:c>
      <x:c r="Y54" s="44" t="n">
        <x:v>1</x:v>
      </x:c>
      <x:c r="Z54" s="44" t="n">
        <x:v>0</x:v>
      </x:c>
      <x:c r="AA54" s="56" t="n">
        <x:f>IF($F$5+P54&gt;=65000,1,1-1/(1+($F$5+P54)/(60+$J$5*0.5)))</x:f>
        <x:v>0.3125</x:v>
      </x:c>
      <x:c r="AB54" s="56" t="n">
        <x:f>IF($F$5+Q54&gt;=65000,1,1-1/(1+($F$5+Q54)/(60+$J$5*0.5)))</x:f>
        <x:v>0.3125</x:v>
      </x:c>
      <x:c r="AC54" s="56" t="n">
        <x:f>IF($F$5+R54&gt;=65000,1,1-1/(1+($F$5+R54)/(60+$J$5*0.5)))</x:f>
        <x:v>0.3125</x:v>
      </x:c>
      <x:c r="AD54" s="56" t="n">
        <x:f>IF($F$5+S54&gt;=65000,1,1-1/(1+($F$5+S54)/(60+$J$5*0.5)))</x:f>
        <x:v>0.3125</x:v>
      </x:c>
      <x:c r="AE54" s="56" t="n">
        <x:f>IF($F$5+T54&gt;=65000,1,1-1/(1+($F$5+T54)/(60+$J$5*0.5)))</x:f>
        <x:v>0.3125</x:v>
      </x:c>
      <x:c r="AF54" s="56" t="n">
        <x:f>IF($F$5+U54&gt;=65000,1,1-1/(1+($F$5+U54)/(60+$J$5*0.5)))</x:f>
        <x:v>0.3125</x:v>
      </x:c>
      <x:c r="AG54" s="56" t="n">
        <x:f>IF($F$5+V54&gt;=65000,1,1-1/(1+($F$5+V54)/(60+$J$5*0.5)))</x:f>
        <x:v>0.3125</x:v>
      </x:c>
      <x:c r="AH54" s="56" t="n">
        <x:f>1-((5+$J$5*2)/(10+$J$5*2+MAX(0,$D$5+O54)))*(1/(1+MAX(0,$D$5+O54)/(90+$J$5*0.25)))</x:f>
        <x:v>0.6462865716429107</x:v>
      </x:c>
      <x:c r="AI54" s="44" t="str">
        <x:v>Text + MAW-Stats</x:v>
      </x:c>
      <x:c r="AJ54" s="44" t="str">
        <x:v>6d6+18</x:v>
      </x:c>
    </x:row>
    <x:row r="55" ht="49" customHeight="1">
      <x:c r="A55" s="44" t="n">
        <x:v>44</x:v>
      </x:c>
      <x:c r="B55" s="44" t="str">
        <x:v>Wyrm Spitter</x:v>
      </x:c>
      <x:c r="C55" s="44" t="str">
        <x:v>Speer</x:v>
      </x:c>
      <x:c r="D55" s="44" t="str">
        <x:v>MM8</x:v>
      </x:c>
      <x:c r="E55" s="50" t="n">
        <x:f>ROUND(X55*Y55,0)</x:f>
        <x:v>293</x:v>
      </x:c>
      <x:c r="F55" s="51" t="n">
        <x:f>ROUND(($B$5+N55*$H$5+W55)/(1-(AH55/2+(AA55+AB55+AC55+AD55+AE55+AF55)/16+AG55/8)),0)</x:f>
        <x:v>4562</x:v>
      </x:c>
      <x:c r="G55" s="51" t="n">
        <x:f>F55-$B$8</x:f>
        <x:v>720</x:v>
      </x:c>
      <x:c r="H55" s="44" t="str">
        <x:v>Nein</x:v>
      </x:c>
      <x:c r="I55" s="44" t="str">
        <x:v>+60 Endurance vor Levelskalierung.</x:v>
      </x:c>
      <x:c r="J55" s="44" t="str">
        <x:v>Dragon Slaying und Swift laut Itemtext; gegen Drachen deutlich besser.</x:v>
      </x:c>
      <x:c r="K55" s="44" t="str">
        <x:v>1H/2H-fähig.</x:v>
      </x:c>
      <x:c r="L55" s="44" t="str">
        <x:v>Slayer und Swift nicht eingerechnet.</x:v>
      </x:c>
      <x:c r="M55" s="44" t="str">
        <x:v>https://github.com/Malekitsu/Maw-Mod-MMMerge/blob/4.5/Scripts/General/zzMaw-Items.lua</x:v>
      </x:c>
      <x:c r="N55" s="54" t="n">
        <x:v>75</x:v>
      </x:c>
      <x:c r="O55" s="54" t="n">
        <x:v>0</x:v>
      </x:c>
      <x:c r="P55" s="54" t="n">
        <x:v>0</x:v>
      </x:c>
      <x:c r="Q55" s="54" t="n">
        <x:v>0</x:v>
      </x:c>
      <x:c r="R55" s="54" t="n">
        <x:v>0</x:v>
      </x:c>
      <x:c r="S55" s="54" t="n">
        <x:v>0</x:v>
      </x:c>
      <x:c r="T55" s="54" t="n">
        <x:v>0</x:v>
      </x:c>
      <x:c r="U55" s="54" t="n">
        <x:v>0</x:v>
      </x:c>
      <x:c r="V55" s="54" t="n">
        <x:v>0</x:v>
      </x:c>
      <x:c r="W55" s="54" t="n">
        <x:v>0</x:v>
      </x:c>
      <x:c r="X55" s="44" t="n">
        <x:v>293</x:v>
      </x:c>
      <x:c r="Y55" s="44" t="n">
        <x:v>1</x:v>
      </x:c>
      <x:c r="Z55" s="44" t="n">
        <x:v>0</x:v>
      </x:c>
      <x:c r="AA55" s="56" t="n">
        <x:f>IF($F$5+P55&gt;=65000,1,1-1/(1+($F$5+P55)/(60+$J$5*0.5)))</x:f>
        <x:v>0.3125</x:v>
      </x:c>
      <x:c r="AB55" s="56" t="n">
        <x:f>IF($F$5+Q55&gt;=65000,1,1-1/(1+($F$5+Q55)/(60+$J$5*0.5)))</x:f>
        <x:v>0.3125</x:v>
      </x:c>
      <x:c r="AC55" s="56" t="n">
        <x:f>IF($F$5+R55&gt;=65000,1,1-1/(1+($F$5+R55)/(60+$J$5*0.5)))</x:f>
        <x:v>0.3125</x:v>
      </x:c>
      <x:c r="AD55" s="56" t="n">
        <x:f>IF($F$5+S55&gt;=65000,1,1-1/(1+($F$5+S55)/(60+$J$5*0.5)))</x:f>
        <x:v>0.3125</x:v>
      </x:c>
      <x:c r="AE55" s="56" t="n">
        <x:f>IF($F$5+T55&gt;=65000,1,1-1/(1+($F$5+T55)/(60+$J$5*0.5)))</x:f>
        <x:v>0.3125</x:v>
      </x:c>
      <x:c r="AF55" s="56" t="n">
        <x:f>IF($F$5+U55&gt;=65000,1,1-1/(1+($F$5+U55)/(60+$J$5*0.5)))</x:f>
        <x:v>0.3125</x:v>
      </x:c>
      <x:c r="AG55" s="56" t="n">
        <x:f>IF($F$5+V55&gt;=65000,1,1-1/(1+($F$5+V55)/(60+$J$5*0.5)))</x:f>
        <x:v>0.3125</x:v>
      </x:c>
      <x:c r="AH55" s="56" t="n">
        <x:f>1-((5+$J$5*2)/(10+$J$5*2+MAX(0,$D$5+O55)))*(1/(1+MAX(0,$D$5+O55)/(90+$J$5*0.25)))</x:f>
        <x:v>0.6462865716429107</x:v>
      </x:c>
      <x:c r="AI55" s="44" t="str">
        <x:v>Text + MAW-Stats</x:v>
      </x:c>
      <x:c r="AJ55" s="44" t="str">
        <x:v>5d9+17</x:v>
      </x:c>
    </x:row>
    <x:row r="56" ht="49" customHeight="1">
      <x:c r="A56" s="44" t="n">
        <x:v>45</x:v>
      </x:c>
      <x:c r="B56" s="44" t="str">
        <x:v>Breaker</x:v>
      </x:c>
      <x:c r="C56" s="44" t="str">
        <x:v>Mace</x:v>
      </x:c>
      <x:c r="D56" s="44" t="str">
        <x:v>MM8</x:v>
      </x:c>
      <x:c r="E56" s="50" t="n">
        <x:f>ROUND(X56*Y56,0)</x:f>
        <x:v>287</x:v>
      </x:c>
      <x:c r="F56" s="51" t="n">
        <x:f>ROUND(($B$5+N56*$H$5+W56)/(1-(AH56/2+(AA56+AB56+AC56+AD56+AE56+AF56)/16+AG56/8)),0)</x:f>
        <x:v>4202</x:v>
      </x:c>
      <x:c r="G56" s="51" t="n">
        <x:f>F56-$B$8</x:f>
        <x:v>360</x:v>
      </x:c>
      <x:c r="H56" s="44" t="str">
        <x:v>Nein</x:v>
      </x:c>
      <x:c r="I56" s="44" t="str">
        <x:v>+30 Might, +30 Endurance vor Levelskalierung.</x:v>
      </x:c>
      <x:c r="J56" s="44" t="str">
        <x:v>Körperschaden je Treffer und erhöhte Might.</x:v>
      </x:c>
      <x:c r="K56" s="44" t="str">
        <x:v>—</x:v>
      </x:c>
      <x:c r="L56" s="44" t="str">
        <x:v>Körperschaden nicht in DPS.</x:v>
      </x:c>
      <x:c r="M56" s="44" t="str">
        <x:v>https://github.com/Malekitsu/Maw-Mod-MMMerge/blob/4.5/Scripts/General/zzMaw-Items.lua</x:v>
      </x:c>
      <x:c r="N56" s="54" t="n">
        <x:v>37.5</x:v>
      </x:c>
      <x:c r="O56" s="54" t="n">
        <x:v>0</x:v>
      </x:c>
      <x:c r="P56" s="54" t="n">
        <x:v>0</x:v>
      </x:c>
      <x:c r="Q56" s="54" t="n">
        <x:v>0</x:v>
      </x:c>
      <x:c r="R56" s="54" t="n">
        <x:v>0</x:v>
      </x:c>
      <x:c r="S56" s="54" t="n">
        <x:v>0</x:v>
      </x:c>
      <x:c r="T56" s="54" t="n">
        <x:v>0</x:v>
      </x:c>
      <x:c r="U56" s="54" t="n">
        <x:v>0</x:v>
      </x:c>
      <x:c r="V56" s="54" t="n">
        <x:v>0</x:v>
      </x:c>
      <x:c r="W56" s="54" t="n">
        <x:v>0</x:v>
      </x:c>
      <x:c r="X56" s="44" t="n">
        <x:v>287</x:v>
      </x:c>
      <x:c r="Y56" s="44" t="n">
        <x:v>1</x:v>
      </x:c>
      <x:c r="Z56" s="44" t="n">
        <x:v>0</x:v>
      </x:c>
      <x:c r="AA56" s="56" t="n">
        <x:f>IF($F$5+P56&gt;=65000,1,1-1/(1+($F$5+P56)/(60+$J$5*0.5)))</x:f>
        <x:v>0.3125</x:v>
      </x:c>
      <x:c r="AB56" s="56" t="n">
        <x:f>IF($F$5+Q56&gt;=65000,1,1-1/(1+($F$5+Q56)/(60+$J$5*0.5)))</x:f>
        <x:v>0.3125</x:v>
      </x:c>
      <x:c r="AC56" s="56" t="n">
        <x:f>IF($F$5+R56&gt;=65000,1,1-1/(1+($F$5+R56)/(60+$J$5*0.5)))</x:f>
        <x:v>0.3125</x:v>
      </x:c>
      <x:c r="AD56" s="56" t="n">
        <x:f>IF($F$5+S56&gt;=65000,1,1-1/(1+($F$5+S56)/(60+$J$5*0.5)))</x:f>
        <x:v>0.3125</x:v>
      </x:c>
      <x:c r="AE56" s="56" t="n">
        <x:f>IF($F$5+T56&gt;=65000,1,1-1/(1+($F$5+T56)/(60+$J$5*0.5)))</x:f>
        <x:v>0.3125</x:v>
      </x:c>
      <x:c r="AF56" s="56" t="n">
        <x:f>IF($F$5+U56&gt;=65000,1,1-1/(1+($F$5+U56)/(60+$J$5*0.5)))</x:f>
        <x:v>0.3125</x:v>
      </x:c>
      <x:c r="AG56" s="56" t="n">
        <x:f>IF($F$5+V56&gt;=65000,1,1-1/(1+($F$5+V56)/(60+$J$5*0.5)))</x:f>
        <x:v>0.3125</x:v>
      </x:c>
      <x:c r="AH56" s="56" t="n">
        <x:f>1-((5+$J$5*2)/(10+$J$5*2+MAX(0,$D$5+O56)))*(1/(1+MAX(0,$D$5+O56)/(90+$J$5*0.25)))</x:f>
        <x:v>0.6462865716429107</x:v>
      </x:c>
      <x:c r="AI56" s="44" t="str">
        <x:v>Text + MAW-Stats</x:v>
      </x:c>
      <x:c r="AJ56" s="44" t="str">
        <x:v>10d3+12</x:v>
      </x:c>
    </x:row>
    <x:row r="57" ht="49" customHeight="1">
      <x:c r="A57" s="44" t="n">
        <x:v>46</x:v>
      </x:c>
      <x:c r="B57" s="44" t="str">
        <x:v>Gibbet</x:v>
      </x:c>
      <x:c r="C57" s="44" t="str">
        <x:v>Speer</x:v>
      </x:c>
      <x:c r="D57" s="44" t="str">
        <x:v>MM7</x:v>
      </x:c>
      <x:c r="E57" s="50" t="n">
        <x:f>ROUND(X57*Y57,0)</x:f>
        <x:v>281</x:v>
      </x:c>
      <x:c r="F57" s="51" t="n">
        <x:f>ROUND(($B$5+N57*$H$5+W57)/(1-(AH57/2+(AA57+AB57+AC57+AD57+AE57+AF57)/16+AG57/8)),0)</x:f>
        <x:v>3842</x:v>
      </x:c>
      <x:c r="G57" s="51" t="n">
        <x:f>F57-$B$8</x:f>
        <x:v>0</x:v>
      </x:c>
      <x:c r="H57" s="44" t="str">
        <x:v>Nein</x:v>
      </x:c>
      <x:c r="I57" s="44" t="str">
        <x:v>Keine direkten Attribute; hoher situativer Offensivnutzen.</x:v>
      </x:c>
      <x:c r="J57" s="44" t="str">
        <x:v>Geskripteter doppelter Trefferschaden gegen Drachen, Dämonen und Untote; zusätzlicher Feuerschaden (15 Basis).</x:v>
      </x:c>
      <x:c r="K57" s="44" t="str">
        <x:v>1H/2H-fähig.</x:v>
      </x:c>
      <x:c r="L57" s="44" t="str">
        <x:v>Slayer und Feuerschaden nicht enthalten.</x:v>
      </x:c>
      <x:c r="M57" s="44" t="str">
        <x:v>https://github.com/Malekitsu/Maw-Mod-MMMerge/blob/4.5/Scripts/Global/ExtraArtifacts.lua</x:v>
      </x:c>
      <x:c r="N57" s="54" t="n">
        <x:v>0</x:v>
      </x:c>
      <x:c r="O57" s="54" t="n">
        <x:v>0</x:v>
      </x:c>
      <x:c r="P57" s="54" t="n">
        <x:v>0</x:v>
      </x:c>
      <x:c r="Q57" s="54" t="n">
        <x:v>0</x:v>
      </x:c>
      <x:c r="R57" s="54" t="n">
        <x:v>0</x:v>
      </x:c>
      <x:c r="S57" s="54" t="n">
        <x:v>0</x:v>
      </x:c>
      <x:c r="T57" s="54" t="n">
        <x:v>0</x:v>
      </x:c>
      <x:c r="U57" s="54" t="n">
        <x:v>0</x:v>
      </x:c>
      <x:c r="V57" s="54" t="n">
        <x:v>0</x:v>
      </x:c>
      <x:c r="W57" s="54" t="n">
        <x:v>0</x:v>
      </x:c>
      <x:c r="X57" s="44" t="n">
        <x:v>281</x:v>
      </x:c>
      <x:c r="Y57" s="44" t="n">
        <x:v>1</x:v>
      </x:c>
      <x:c r="Z57" s="44" t="n">
        <x:v>0</x:v>
      </x:c>
      <x:c r="AA57" s="56" t="n">
        <x:f>IF($F$5+P57&gt;=65000,1,1-1/(1+($F$5+P57)/(60+$J$5*0.5)))</x:f>
        <x:v>0.3125</x:v>
      </x:c>
      <x:c r="AB57" s="56" t="n">
        <x:f>IF($F$5+Q57&gt;=65000,1,1-1/(1+($F$5+Q57)/(60+$J$5*0.5)))</x:f>
        <x:v>0.3125</x:v>
      </x:c>
      <x:c r="AC57" s="56" t="n">
        <x:f>IF($F$5+R57&gt;=65000,1,1-1/(1+($F$5+R57)/(60+$J$5*0.5)))</x:f>
        <x:v>0.3125</x:v>
      </x:c>
      <x:c r="AD57" s="56" t="n">
        <x:f>IF($F$5+S57&gt;=65000,1,1-1/(1+($F$5+S57)/(60+$J$5*0.5)))</x:f>
        <x:v>0.3125</x:v>
      </x:c>
      <x:c r="AE57" s="56" t="n">
        <x:f>IF($F$5+T57&gt;=65000,1,1-1/(1+($F$5+T57)/(60+$J$5*0.5)))</x:f>
        <x:v>0.3125</x:v>
      </x:c>
      <x:c r="AF57" s="56" t="n">
        <x:f>IF($F$5+U57&gt;=65000,1,1-1/(1+($F$5+U57)/(60+$J$5*0.5)))</x:f>
        <x:v>0.3125</x:v>
      </x:c>
      <x:c r="AG57" s="56" t="n">
        <x:f>IF($F$5+V57&gt;=65000,1,1-1/(1+($F$5+V57)/(60+$J$5*0.5)))</x:f>
        <x:v>0.3125</x:v>
      </x:c>
      <x:c r="AH57" s="56" t="n">
        <x:f>1-((5+$J$5*2)/(10+$J$5*2+MAX(0,$D$5+O57)))*(1/(1+MAX(0,$D$5+O57)/(90+$J$5*0.25)))</x:f>
        <x:v>0.6462865716429107</x:v>
      </x:c>
      <x:c r="AI57" s="44" t="str">
        <x:v>Skript</x:v>
      </x:c>
      <x:c r="AJ57" s="44" t="str">
        <x:v>6d6+18</x:v>
      </x:c>
    </x:row>
    <x:row r="58" ht="49" customHeight="1">
      <x:c r="A58" s="44" t="n">
        <x:v>47</x:v>
      </x:c>
      <x:c r="B58" s="44" t="str">
        <x:v>Trident of Rulership</x:v>
      </x:c>
      <x:c r="C58" s="44" t="str">
        <x:v>Speer</x:v>
      </x:c>
      <x:c r="D58" s="44" t="str">
        <x:v>MM8</x:v>
      </x:c>
      <x:c r="E58" s="50" t="n">
        <x:f>ROUND(X58*Y58,0)</x:f>
        <x:v>272</x:v>
      </x:c>
      <x:c r="F58" s="51" t="n">
        <x:f>ROUND(($B$5+N58*$H$5+W58)/(1-(AH58/2+(AA58+AB58+AC58+AD58+AE58+AF58)/16+AG58/8)),0)</x:f>
        <x:v>3863</x:v>
      </x:c>
      <x:c r="G58" s="51" t="n">
        <x:f>F58-$B$8</x:f>
        <x:v>21</x:v>
      </x:c>
      <x:c r="H58" s="44" t="str">
        <x:v>Nein</x:v>
      </x:c>
      <x:c r="I58" s="44" t="str">
        <x:v>+140 Wasserresistenz, −40 Feuerresistenz vor Skalierung.</x:v>
      </x:c>
      <x:c r="J58" s="44" t="str">
        <x:v>Water Breathing; offensiver Grundschaden ohne Zusatzproc.</x:v>
      </x:c>
      <x:c r="K58" s="44" t="str">
        <x:v>1H/2H-fähig.</x:v>
      </x:c>
      <x:c r="L58" s="44" t="str">
        <x:v>Kein zusätzlicher DPS-Proc.</x:v>
      </x:c>
      <x:c r="M58" s="44" t="str">
        <x:v>https://github.com/Malekitsu/Maw-Mod-MMMerge/blob/4.5/Scripts/General/zzMaw-Items.lua</x:v>
      </x:c>
      <x:c r="N58" s="54" t="n">
        <x:v>0</x:v>
      </x:c>
      <x:c r="O58" s="54" t="n">
        <x:v>0</x:v>
      </x:c>
      <x:c r="P58" s="54" t="n">
        <x:v>-50</x:v>
      </x:c>
      <x:c r="Q58" s="54" t="n">
        <x:v>0</x:v>
      </x:c>
      <x:c r="R58" s="54" t="n">
        <x:v>175</x:v>
      </x:c>
      <x:c r="S58" s="54" t="n">
        <x:v>0</x:v>
      </x:c>
      <x:c r="T58" s="54" t="n">
        <x:v>0</x:v>
      </x:c>
      <x:c r="U58" s="54" t="n">
        <x:v>0</x:v>
      </x:c>
      <x:c r="V58" s="54" t="n">
        <x:v>0</x:v>
      </x:c>
      <x:c r="W58" s="54" t="n">
        <x:v>0</x:v>
      </x:c>
      <x:c r="X58" s="44" t="n">
        <x:v>272</x:v>
      </x:c>
      <x:c r="Y58" s="44" t="n">
        <x:v>1</x:v>
      </x:c>
      <x:c r="Z58" s="44" t="n">
        <x:v>0</x:v>
      </x:c>
      <x:c r="AA58" s="56" t="n">
        <x:f>IF($F$5+P58&gt;=65000,1,1-1/(1+($F$5+P58)/(60+$J$5*0.5)))</x:f>
        <x:v>0</x:v>
      </x:c>
      <x:c r="AB58" s="56" t="n">
        <x:f>IF($F$5+Q58&gt;=65000,1,1-1/(1+($F$5+Q58)/(60+$J$5*0.5)))</x:f>
        <x:v>0.3125</x:v>
      </x:c>
      <x:c r="AC58" s="56" t="n">
        <x:f>IF($F$5+R58&gt;=65000,1,1-1/(1+($F$5+R58)/(60+$J$5*0.5)))</x:f>
        <x:v>0.6716417910447761</x:v>
      </x:c>
      <x:c r="AD58" s="56" t="n">
        <x:f>IF($F$5+S58&gt;=65000,1,1-1/(1+($F$5+S58)/(60+$J$5*0.5)))</x:f>
        <x:v>0.3125</x:v>
      </x:c>
      <x:c r="AE58" s="56" t="n">
        <x:f>IF($F$5+T58&gt;=65000,1,1-1/(1+($F$5+T58)/(60+$J$5*0.5)))</x:f>
        <x:v>0.3125</x:v>
      </x:c>
      <x:c r="AF58" s="56" t="n">
        <x:f>IF($F$5+U58&gt;=65000,1,1-1/(1+($F$5+U58)/(60+$J$5*0.5)))</x:f>
        <x:v>0.3125</x:v>
      </x:c>
      <x:c r="AG58" s="56" t="n">
        <x:f>IF($F$5+V58&gt;=65000,1,1-1/(1+($F$5+V58)/(60+$J$5*0.5)))</x:f>
        <x:v>0.3125</x:v>
      </x:c>
      <x:c r="AH58" s="56" t="n">
        <x:f>1-((5+$J$5*2)/(10+$J$5*2+MAX(0,$D$5+O58)))*(1/(1+MAX(0,$D$5+O58)/(90+$J$5*0.25)))</x:f>
        <x:v>0.6462865716429107</x:v>
      </x:c>
      <x:c r="AI58" s="44" t="str">
        <x:v>MAW-Stats</x:v>
      </x:c>
      <x:c r="AJ58" s="44" t="str">
        <x:v>6d6+16</x:v>
      </x:c>
    </x:row>
    <x:row r="59" ht="49" customHeight="1">
      <x:c r="A59" s="44" t="n">
        <x:v>48</x:v>
      </x:c>
      <x:c r="B59" s="44" t="str">
        <x:v>Mekorig's Hammer</x:v>
      </x:c>
      <x:c r="C59" s="44" t="str">
        <x:v>Mace</x:v>
      </x:c>
      <x:c r="D59" s="44" t="str">
        <x:v>MM7</x:v>
      </x:c>
      <x:c r="E59" s="50" t="n">
        <x:f>ROUND(X59*Y59,0)</x:f>
        <x:v>250</x:v>
      </x:c>
      <x:c r="F59" s="51" t="n">
        <x:f>ROUND(($B$5+N59*$H$5+W59)/(1-(AH59/2+(AA59+AB59+AC59+AD59+AE59+AF59)/16+AG59/8)),0)</x:f>
        <x:v>2967</x:v>
      </x:c>
      <x:c r="G59" s="51" t="n">
        <x:f>F59-$B$8</x:f>
        <x:v>-875</x:v>
      </x:c>
      <x:c r="H59" s="44" t="str">
        <x:v>Nein</x:v>
      </x:c>
      <x:c r="I59" s="44" t="str">
        <x:v>+75 Might, −100 Luftresistenz vor Levelskalierung.</x:v>
      </x:c>
      <x:c r="J59" s="44" t="str">
        <x:v>Spirit-Magic-Bonus; primär Hybrid-Zauberwaffe.</x:v>
      </x:c>
      <x:c r="K59" s="44" t="str">
        <x:v>—</x:v>
      </x:c>
      <x:c r="L59" s="44" t="str">
        <x:v>Magiebonus nicht als Angriffsschaden eingerechnet.</x:v>
      </x:c>
      <x:c r="M59" s="44" t="str">
        <x:v>https://github.com/Malekitsu/Maw-Mod-MMMerge/blob/4.5/Scripts/General/zzMaw-Items.lua</x:v>
      </x:c>
      <x:c r="N59" s="54" t="n">
        <x:v>0</x:v>
      </x:c>
      <x:c r="O59" s="54" t="n">
        <x:v>0</x:v>
      </x:c>
      <x:c r="P59" s="54" t="n">
        <x:v>0</x:v>
      </x:c>
      <x:c r="Q59" s="54" t="n">
        <x:v>-125</x:v>
      </x:c>
      <x:c r="R59" s="54" t="n">
        <x:v>0</x:v>
      </x:c>
      <x:c r="S59" s="54" t="n">
        <x:v>0</x:v>
      </x:c>
      <x:c r="T59" s="54" t="n">
        <x:v>0</x:v>
      </x:c>
      <x:c r="U59" s="54" t="n">
        <x:v>0</x:v>
      </x:c>
      <x:c r="V59" s="54" t="n">
        <x:v>0</x:v>
      </x:c>
      <x:c r="W59" s="54" t="n">
        <x:v>0</x:v>
      </x:c>
      <x:c r="X59" s="44" t="n">
        <x:v>250</x:v>
      </x:c>
      <x:c r="Y59" s="44" t="n">
        <x:v>1</x:v>
      </x:c>
      <x:c r="Z59" s="44" t="n">
        <x:v>0</x:v>
      </x:c>
      <x:c r="AA59" s="56" t="n">
        <x:f>IF($F$5+P59&gt;=65000,1,1-1/(1+($F$5+P59)/(60+$J$5*0.5)))</x:f>
        <x:v>0.3125</x:v>
      </x:c>
      <x:c r="AB59" s="56" t="n">
        <x:f>IF($F$5+Q59&gt;=65000,1,1-1/(1+($F$5+Q59)/(60+$J$5*0.5)))</x:f>
        <x:v>-2.1428571428571423</x:v>
      </x:c>
      <x:c r="AC59" s="56" t="n">
        <x:f>IF($F$5+R59&gt;=65000,1,1-1/(1+($F$5+R59)/(60+$J$5*0.5)))</x:f>
        <x:v>0.3125</x:v>
      </x:c>
      <x:c r="AD59" s="56" t="n">
        <x:f>IF($F$5+S59&gt;=65000,1,1-1/(1+($F$5+S59)/(60+$J$5*0.5)))</x:f>
        <x:v>0.3125</x:v>
      </x:c>
      <x:c r="AE59" s="56" t="n">
        <x:f>IF($F$5+T59&gt;=65000,1,1-1/(1+($F$5+T59)/(60+$J$5*0.5)))</x:f>
        <x:v>0.3125</x:v>
      </x:c>
      <x:c r="AF59" s="56" t="n">
        <x:f>IF($F$5+U59&gt;=65000,1,1-1/(1+($F$5+U59)/(60+$J$5*0.5)))</x:f>
        <x:v>0.3125</x:v>
      </x:c>
      <x:c r="AG59" s="56" t="n">
        <x:f>IF($F$5+V59&gt;=65000,1,1-1/(1+($F$5+V59)/(60+$J$5*0.5)))</x:f>
        <x:v>0.3125</x:v>
      </x:c>
      <x:c r="AH59" s="56" t="n">
        <x:f>1-((5+$J$5*2)/(10+$J$5*2+MAX(0,$D$5+O59)))*(1/(1+MAX(0,$D$5+O59)/(90+$J$5*0.25)))</x:f>
        <x:v>0.6462865716429107</x:v>
      </x:c>
      <x:c r="AI59" s="44" t="str">
        <x:v>MAW-Stats</x:v>
      </x:c>
      <x:c r="AJ59" s="44" t="str">
        <x:v>2d5+15</x:v>
      </x:c>
    </x:row>
    <x:row r="60" ht="49" customHeight="1">
      <x:c r="A60" s="44" t="n">
        <x:v>49</x:v>
      </x:c>
      <x:c r="B60" s="44" t="str">
        <x:v>Justice</x:v>
      </x:c>
      <x:c r="C60" s="44" t="str">
        <x:v>Mace</x:v>
      </x:c>
      <x:c r="D60" s="44" t="str">
        <x:v>MM7</x:v>
      </x:c>
      <x:c r="E60" s="50" t="n">
        <x:f>ROUND(X60*Y60,0)</x:f>
        <x:v>219</x:v>
      </x:c>
      <x:c r="F60" s="51" t="n">
        <x:f>ROUND(($B$5+N60*$H$5+W60)/(1-(AH60/2+(AA60+AB60+AC60+AD60+AE60+AF60)/16+AG60/8)),0)</x:f>
        <x:v>3842</x:v>
      </x:c>
      <x:c r="G60" s="51" t="n">
        <x:f>F60-$B$8</x:f>
        <x:v>0</x:v>
      </x:c>
      <x:c r="H60" s="44" t="str">
        <x:v>Nein</x:v>
      </x:c>
      <x:c r="I60" s="44" t="str">
        <x:v>−40 Speed vor Skalierung.</x:v>
      </x:c>
      <x:c r="J60" s="44" t="str">
        <x:v>Undead Slaying; Boni auf Mind-/Body-Magic.</x:v>
      </x:c>
      <x:c r="K60" s="44" t="str">
        <x:v>—</x:v>
      </x:c>
      <x:c r="L60" s="44" t="str">
        <x:v>Slayer/Zauber-Boni nicht in DPS.</x:v>
      </x:c>
      <x:c r="M60" s="44" t="str">
        <x:v>https://github.com/Malekitsu/Maw-Mod-MMMerge/blob/4.5/Scripts/General/zzMaw-Items.lua</x:v>
      </x:c>
      <x:c r="N60" s="54" t="n">
        <x:v>0</x:v>
      </x:c>
      <x:c r="O60" s="54" t="n">
        <x:v>0</x:v>
      </x:c>
      <x:c r="P60" s="54" t="n">
        <x:v>0</x:v>
      </x:c>
      <x:c r="Q60" s="54" t="n">
        <x:v>0</x:v>
      </x:c>
      <x:c r="R60" s="54" t="n">
        <x:v>0</x:v>
      </x:c>
      <x:c r="S60" s="54" t="n">
        <x:v>0</x:v>
      </x:c>
      <x:c r="T60" s="54" t="n">
        <x:v>0</x:v>
      </x:c>
      <x:c r="U60" s="54" t="n">
        <x:v>0</x:v>
      </x:c>
      <x:c r="V60" s="54" t="n">
        <x:v>0</x:v>
      </x:c>
      <x:c r="W60" s="54" t="n">
        <x:v>0</x:v>
      </x:c>
      <x:c r="X60" s="44" t="n">
        <x:v>219</x:v>
      </x:c>
      <x:c r="Y60" s="44" t="n">
        <x:v>1</x:v>
      </x:c>
      <x:c r="Z60" s="44" t="n">
        <x:v>0</x:v>
      </x:c>
      <x:c r="AA60" s="56" t="n">
        <x:f>IF($F$5+P60&gt;=65000,1,1-1/(1+($F$5+P60)/(60+$J$5*0.5)))</x:f>
        <x:v>0.3125</x:v>
      </x:c>
      <x:c r="AB60" s="56" t="n">
        <x:f>IF($F$5+Q60&gt;=65000,1,1-1/(1+($F$5+Q60)/(60+$J$5*0.5)))</x:f>
        <x:v>0.3125</x:v>
      </x:c>
      <x:c r="AC60" s="56" t="n">
        <x:f>IF($F$5+R60&gt;=65000,1,1-1/(1+($F$5+R60)/(60+$J$5*0.5)))</x:f>
        <x:v>0.3125</x:v>
      </x:c>
      <x:c r="AD60" s="56" t="n">
        <x:f>IF($F$5+S60&gt;=65000,1,1-1/(1+($F$5+S60)/(60+$J$5*0.5)))</x:f>
        <x:v>0.3125</x:v>
      </x:c>
      <x:c r="AE60" s="56" t="n">
        <x:f>IF($F$5+T60&gt;=65000,1,1-1/(1+($F$5+T60)/(60+$J$5*0.5)))</x:f>
        <x:v>0.3125</x:v>
      </x:c>
      <x:c r="AF60" s="56" t="n">
        <x:f>IF($F$5+U60&gt;=65000,1,1-1/(1+($F$5+U60)/(60+$J$5*0.5)))</x:f>
        <x:v>0.3125</x:v>
      </x:c>
      <x:c r="AG60" s="56" t="n">
        <x:f>IF($F$5+V60&gt;=65000,1,1-1/(1+($F$5+V60)/(60+$J$5*0.5)))</x:f>
        <x:v>0.3125</x:v>
      </x:c>
      <x:c r="AH60" s="56" t="n">
        <x:f>1-((5+$J$5*2)/(10+$J$5*2+MAX(0,$D$5+O60)))*(1/(1+MAX(0,$D$5+O60)/(90+$J$5*0.25)))</x:f>
        <x:v>0.6462865716429107</x:v>
      </x:c>
      <x:c r="AI60" s="44" t="str">
        <x:v>Text + MAW-Stats</x:v>
      </x:c>
      <x:c r="AJ60" s="44" t="str">
        <x:v>2d4+16</x:v>
      </x:c>
    </x:row>
    <x:row r="61" ht="49" customHeight="1">
      <x:c r="A61" s="44" t="n">
        <x:v>50</x:v>
      </x:c>
      <x:c r="B61" s="44" t="str">
        <x:v>Staff of Elements</x:v>
      </x:c>
      <x:c r="C61" s="44" t="str">
        <x:v>Staff</x:v>
      </x:c>
      <x:c r="D61" s="44" t="str">
        <x:v>MM8</x:v>
      </x:c>
      <x:c r="E61" s="50" t="n">
        <x:f>ROUND(X61*Y61,0)</x:f>
        <x:v>188</x:v>
      </x:c>
      <x:c r="F61" s="51" t="n">
        <x:f>ROUND(($B$5+N61*$H$5+W61)/(1-(AH61/2+(AA61+AB61+AC61+AD61+AE61+AF61)/16+AG61/8)),0)</x:f>
        <x:v>3234</x:v>
      </x:c>
      <x:c r="G61" s="51" t="n">
        <x:f>F61-$B$8</x:f>
        <x:v>-608</x:v>
      </x:c>
      <x:c r="H61" s="44" t="str">
        <x:v>Nein</x:v>
      </x:c>
      <x:c r="I61" s="44" t="str">
        <x:v>−40 AC vor Levelskalierung, macht anfälliger.</x:v>
      </x:c>
      <x:c r="J61" s="44" t="str">
        <x:v>Verstärkt vier Elementarmagieschulen; für Zauberschaden wertvoll, nicht für Stab-DPS.</x:v>
      </x:c>
      <x:c r="K61" s="44" t="str">
        <x:v>—</x:v>
      </x:c>
      <x:c r="L61" s="44" t="str">
        <x:v>Zauberboni nicht in physischen DPS.</x:v>
      </x:c>
      <x:c r="M61" s="44" t="str">
        <x:v>https://github.com/Malekitsu/Maw-Mod-MMMerge/blob/4.5/Scripts/General/zzMaw-Items.lua</x:v>
      </x:c>
      <x:c r="N61" s="54" t="n">
        <x:v>0</x:v>
      </x:c>
      <x:c r="O61" s="54" t="n">
        <x:v>-50</x:v>
      </x:c>
      <x:c r="P61" s="54" t="n">
        <x:v>0</x:v>
      </x:c>
      <x:c r="Q61" s="54" t="n">
        <x:v>0</x:v>
      </x:c>
      <x:c r="R61" s="54" t="n">
        <x:v>0</x:v>
      </x:c>
      <x:c r="S61" s="54" t="n">
        <x:v>0</x:v>
      </x:c>
      <x:c r="T61" s="54" t="n">
        <x:v>0</x:v>
      </x:c>
      <x:c r="U61" s="54" t="n">
        <x:v>0</x:v>
      </x:c>
      <x:c r="V61" s="54" t="n">
        <x:v>0</x:v>
      </x:c>
      <x:c r="W61" s="54" t="n">
        <x:v>0</x:v>
      </x:c>
      <x:c r="X61" s="44" t="n">
        <x:v>188</x:v>
      </x:c>
      <x:c r="Y61" s="44" t="n">
        <x:v>1</x:v>
      </x:c>
      <x:c r="Z61" s="44" t="n">
        <x:v>0</x:v>
      </x:c>
      <x:c r="AA61" s="56" t="n">
        <x:f>IF($F$5+P61&gt;=65000,1,1-1/(1+($F$5+P61)/(60+$J$5*0.5)))</x:f>
        <x:v>0.3125</x:v>
      </x:c>
      <x:c r="AB61" s="56" t="n">
        <x:f>IF($F$5+Q61&gt;=65000,1,1-1/(1+($F$5+Q61)/(60+$J$5*0.5)))</x:f>
        <x:v>0.3125</x:v>
      </x:c>
      <x:c r="AC61" s="56" t="n">
        <x:f>IF($F$5+R61&gt;=65000,1,1-1/(1+($F$5+R61)/(60+$J$5*0.5)))</x:f>
        <x:v>0.3125</x:v>
      </x:c>
      <x:c r="AD61" s="56" t="n">
        <x:f>IF($F$5+S61&gt;=65000,1,1-1/(1+($F$5+S61)/(60+$J$5*0.5)))</x:f>
        <x:v>0.3125</x:v>
      </x:c>
      <x:c r="AE61" s="56" t="n">
        <x:f>IF($F$5+T61&gt;=65000,1,1-1/(1+($F$5+T61)/(60+$J$5*0.5)))</x:f>
        <x:v>0.3125</x:v>
      </x:c>
      <x:c r="AF61" s="56" t="n">
        <x:f>IF($F$5+U61&gt;=65000,1,1-1/(1+($F$5+U61)/(60+$J$5*0.5)))</x:f>
        <x:v>0.3125</x:v>
      </x:c>
      <x:c r="AG61" s="56" t="n">
        <x:f>IF($F$5+V61&gt;=65000,1,1-1/(1+($F$5+V61)/(60+$J$5*0.5)))</x:f>
        <x:v>0.3125</x:v>
      </x:c>
      <x:c r="AH61" s="56" t="n">
        <x:f>1-((5+$J$5*2)/(10+$J$5*2+MAX(0,$D$5+O61)))*(1/(1+MAX(0,$D$5+O61)/(90+$J$5*0.25)))</x:f>
        <x:v>0.45046620046620045</x:v>
      </x:c>
      <x:c r="AI61" s="44" t="str">
        <x:v>MAW-Stats</x:v>
      </x:c>
      <x:c r="AJ61" s="44" t="str">
        <x:v>2d4+4</x:v>
      </x:c>
    </x:row>
    <x:row r="62" ht="49" customHeight="1">
      <x:c r="A62" s="44" t="n">
        <x:v>51</x:v>
      </x:c>
      <x:c r="B62" s="44" t="str">
        <x:v>Ethric's Staff</x:v>
      </x:c>
      <x:c r="C62" s="44" t="str">
        <x:v>Staff</x:v>
      </x:c>
      <x:c r="D62" s="44" t="str">
        <x:v>MM7</x:v>
      </x:c>
      <x:c r="E62" s="50" t="n">
        <x:f>ROUND(X62*Y62,0)</x:f>
        <x:v>153</x:v>
      </x:c>
      <x:c r="F62" s="51" t="n">
        <x:f>ROUND(($B$5+N62*$H$5+W62)/(1-(AH62/2+(AA62+AB62+AC62+AD62+AE62+AF62)/16+AG62/8)),0)</x:f>
        <x:v>3842</x:v>
      </x:c>
      <x:c r="G62" s="51" t="n">
        <x:f>F62-$B$8</x:f>
        <x:v>0</x:v>
      </x:c>
      <x:c r="H62" s="44" t="str">
        <x:v>Nein</x:v>
      </x:c>
      <x:c r="I62" s="44" t="str">
        <x:v>Verliert als Nicht-Lich fortlaufend HP (Skript); negativer Defensiveffekt.</x:v>
      </x:c>
      <x:c r="J62" s="44" t="str">
        <x:v>Dark-Magic- und Meditation-Bonus für Zauberwirker.</x:v>
      </x:c>
      <x:c r="K62" s="44" t="str">
        <x:v>—</x:v>
      </x:c>
      <x:c r="L62" s="44" t="str">
        <x:v>Magische Vorteile nicht als physische DPS gerechnet.</x:v>
      </x:c>
      <x:c r="M62" s="44" t="str">
        <x:v>https://github.com/Malekitsu/Maw-Mod-MMMerge/blob/4.5/Scripts/General/zzMaw-Items.lua</x:v>
      </x:c>
      <x:c r="N62" s="54" t="n">
        <x:v>0</x:v>
      </x:c>
      <x:c r="O62" s="54" t="n">
        <x:v>0</x:v>
      </x:c>
      <x:c r="P62" s="54" t="n">
        <x:v>0</x:v>
      </x:c>
      <x:c r="Q62" s="54" t="n">
        <x:v>0</x:v>
      </x:c>
      <x:c r="R62" s="54" t="n">
        <x:v>0</x:v>
      </x:c>
      <x:c r="S62" s="54" t="n">
        <x:v>0</x:v>
      </x:c>
      <x:c r="T62" s="54" t="n">
        <x:v>0</x:v>
      </x:c>
      <x:c r="U62" s="54" t="n">
        <x:v>0</x:v>
      </x:c>
      <x:c r="V62" s="54" t="n">
        <x:v>0</x:v>
      </x:c>
      <x:c r="W62" s="54" t="n">
        <x:v>0</x:v>
      </x:c>
      <x:c r="X62" s="44" t="n">
        <x:v>153</x:v>
      </x:c>
      <x:c r="Y62" s="44" t="n">
        <x:v>1</x:v>
      </x:c>
      <x:c r="Z62" s="44" t="n">
        <x:v>-3</x:v>
      </x:c>
      <x:c r="AA62" s="56" t="n">
        <x:f>IF($F$5+P62&gt;=65000,1,1-1/(1+($F$5+P62)/(60+$J$5*0.5)))</x:f>
        <x:v>0.3125</x:v>
      </x:c>
      <x:c r="AB62" s="56" t="n">
        <x:f>IF($F$5+Q62&gt;=65000,1,1-1/(1+($F$5+Q62)/(60+$J$5*0.5)))</x:f>
        <x:v>0.3125</x:v>
      </x:c>
      <x:c r="AC62" s="56" t="n">
        <x:f>IF($F$5+R62&gt;=65000,1,1-1/(1+($F$5+R62)/(60+$J$5*0.5)))</x:f>
        <x:v>0.3125</x:v>
      </x:c>
      <x:c r="AD62" s="56" t="n">
        <x:f>IF($F$5+S62&gt;=65000,1,1-1/(1+($F$5+S62)/(60+$J$5*0.5)))</x:f>
        <x:v>0.3125</x:v>
      </x:c>
      <x:c r="AE62" s="56" t="n">
        <x:f>IF($F$5+T62&gt;=65000,1,1-1/(1+($F$5+T62)/(60+$J$5*0.5)))</x:f>
        <x:v>0.3125</x:v>
      </x:c>
      <x:c r="AF62" s="56" t="n">
        <x:f>IF($F$5+U62&gt;=65000,1,1-1/(1+($F$5+U62)/(60+$J$5*0.5)))</x:f>
        <x:v>0.3125</x:v>
      </x:c>
      <x:c r="AG62" s="56" t="n">
        <x:f>IF($F$5+V62&gt;=65000,1,1-1/(1+($F$5+V62)/(60+$J$5*0.5)))</x:f>
        <x:v>0.3125</x:v>
      </x:c>
      <x:c r="AH62" s="56" t="n">
        <x:f>1-((5+$J$5*2)/(10+$J$5*2+MAX(0,$D$5+O62)))*(1/(1+MAX(0,$D$5+O62)/(90+$J$5*0.25)))</x:f>
        <x:v>0.6462865716429107</x:v>
      </x:c>
      <x:c r="AI62" s="44" t="str">
        <x:v>Skript</x:v>
      </x:c>
      <x:c r="AJ62" s="44" t="str">
        <x:v>2d4+11</x:v>
      </x:c>
    </x:row>
  </x:sheetData>
  <x:mergeCells>
    <x:mergeCell ref="A1:M1"/>
    <x:mergeCell ref="A2:M2"/>
    <x:mergeCell ref="A3:M3"/>
    <x:mergeCell ref="A7:M7"/>
    <x:mergeCell ref="C8:M8"/>
    <x:mergeCell ref="A9:M9"/>
  </x:mergeCells>
  <x:conditionalFormatting sqref="E12:E62">
    <x:cfRule type="dataBar" priority="1">
      <x:dataBar>
        <x:cfvo type="min"/>
        <x:cfvo type="max"/>
        <x:color rgb="FF7AB6DE"/>
      </x:dataBar>
      <x:extLst>
        <x:ext xmlns:x14="http://schemas.microsoft.com/office/spreadsheetml/2009/9/main" uri="{B025F937-C7B1-47D3-B67F-A62EFF666E3E}">
          <x14:id>{4B012B6B-E801-0DF7-3DD8-45EC39BB3E75}</x14:id>
        </x:ext>
      </x:extLst>
    </x:cfRule>
  </x:conditionalFormatting>
  <x:conditionalFormatting sqref="G12:G62">
    <x:cfRule type="colorScale" priority="2">
      <x:colorScale>
        <x:cfvo type="min"/>
        <x:cfvo type="percentile" val="50"/>
        <x:cfvo type="max"/>
        <x:color rgb="FFFAD9D5"/>
        <x:color rgb="FFF7F9FC"/>
        <x:color rgb="FFBCE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86e54bb5efc40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B012B6B-E801-0DF7-3DD8-45EC39BB3E75}">
            <x14:dataBar gradient="1">
              <x14:cfvo type="min"/>
              <x14:cfvo type="max"/>
              <x14:fillColor rgb="FF7AB6DE"/>
            </x14:dataBar>
          </x14:cfRule>
          <xm:sqref>E12:E62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10" hidden="0" customWidth="1"/>
    <x:col min="5" max="5" width="17" hidden="0" customWidth="1"/>
    <x:col min="6" max="6" width="19" hidden="0" customWidth="1"/>
    <x:col min="7" max="7" width="14" hidden="0" customWidth="1"/>
    <x:col min="8" max="8" width="21" hidden="0" customWidth="1"/>
    <x:col min="9" max="9" width="55" hidden="0" customWidth="1"/>
    <x:col min="10" max="10" width="85" hidden="0" customWidth="1"/>
    <x:col min="11" max="11" width="25" hidden="0" customWidth="1"/>
    <x:col min="12" max="12" width="60" hidden="0" customWidth="1"/>
    <x:col min="13" max="13" width="44" hidden="0" customWidth="1"/>
    <x:col min="14" max="14" width="14" hidden="0" customWidth="1"/>
    <x:col min="15" max="15" width="14" hidden="0" customWidth="1"/>
    <x:col min="16" max="16" width="13" hidden="0" customWidth="1"/>
    <x:col min="17" max="17" width="13" hidden="0" customWidth="1"/>
    <x:col min="18" max="18" width="14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2" hidden="0" customWidth="1"/>
    <x:col min="24" max="24" width="17" hidden="0" customWidth="1"/>
    <x:col min="25" max="25" width="18" hidden="0" customWidth="1"/>
    <x:col min="26" max="26" width="18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32" hidden="0" customWidth="1"/>
    <x:col min="36" max="36" width="18" hidden="0" customWidth="1"/>
  </x:cols>
  <x:sheetData>
    <x:row r="1" ht="37" customHeight="1">
      <x:c r="A1" s="4" t="str">
        <x:v>MAW 4.5  |  BEST OF SURVIVAL / DEF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51 Artefakt-/Reliktwaffen · MM6/7/8 Merge · 2H/1H, Speere, Maces, Staffs, Dolche, Bögen und Armbrust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3" customHeight="1">
      <x:c r="A3" s="13" t="str">
        <x:v>VITALITY: wie im MAW-Stats-Menü strukturiert, aber auf eine Modellfigur bezogen. Kein echter Ingame-Vitalitywert.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5" ht="22" customHeight="1">
      <x:c r="A5" s="16" t="str">
        <x:v>Basis-HP</x:v>
      </x:c>
      <x:c r="B5" s="19" t="n">
        <x:v>2000</x:v>
      </x:c>
      <x:c r="C5" s="16" t="str">
        <x:v>Basis-AC</x:v>
      </x:c>
      <x:c r="D5" s="19" t="n">
        <x:v>100</x:v>
      </x:c>
      <x:c r="E5" s="16" t="str">
        <x:v>Basis-Res. (alle)</x:v>
      </x:c>
      <x:c r="F5" s="19" t="n">
        <x:v>50</x:v>
      </x:c>
      <x:c r="G5" s="16" t="str">
        <x:v>HP je Endurance*</x:v>
      </x:c>
      <x:c r="H5" s="19" t="n">
        <x:v>5</x:v>
      </x:c>
      <x:c r="I5" s="16" t="str">
        <x:v>Level</x:v>
      </x:c>
      <x:c r="J5" s="19" t="n">
        <x:v>100</x:v>
      </x:c>
    </x:row>
    <x:row r="6" ht="22" customHeight="1">
      <x:c r="A6" s="16" t="str">
        <x:v>Waffen-Skill</x:v>
      </x:c>
      <x:c r="B6" s="16" t="n">
        <x:v>20</x:v>
      </x:c>
      <x:c r="C6" s="16" t="str">
        <x:v>Armsmaster</x:v>
      </x:c>
      <x:c r="D6" s="16" t="n">
        <x:v>20</x:v>
      </x:c>
      <x:c r="E6" s="16" t="str">
        <x:v>Basis-Might</x:v>
      </x:c>
      <x:c r="F6" s="16" t="n">
        <x:v>100</x:v>
      </x:c>
      <x:c r="G6" s="16" t="str">
        <x:v>Basis-Speed</x:v>
      </x:c>
      <x:c r="H6" s="16" t="n">
        <x:v>100</x:v>
      </x:c>
      <x:c r="I6" s="16" t="str">
        <x:v>Basis-ACC/Luck</x:v>
      </x:c>
      <x:c r="J6" s="16" t="n">
        <x:v>100</x:v>
      </x:c>
    </x:row>
    <x:row r="7" ht="29" customHeight="1">
      <x:c r="A7" s="23" t="str">
        <x:v>* Nur Vitality-Parameter (grün) sind editierbar gedacht. HP/Endurance = 5 ist ein transparenter Szenario-Annahmewert, KEINE bestätigte Spielkonstante. DPS bleibt Benchmark (Lv100 / 20 GM).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 ht="26" customHeight="1">
      <x:c r="A8" s="27" t="str">
        <x:v>Vitality ohne Waffe</x:v>
      </x:c>
      <x:c r="B8" s="27" t="n">
        <x:f>ROUND(B5/(1-((1-((5+J5*2)/(10+J5*2+D5))*(1/(1+D5/(90+J5*0.25))))/2+(1-1/(1+F5/(60+J5*0.5)))*0.5)),0)</x:f>
        <x:v>3842</x:v>
      </x:c>
      <x:c r="C8" s="32" t="str">
        <x:v>Lifeleech, Heil-/Mana-Regeneration, Statusimmunitäten und Zauberboni wirken auf Survival, zählen aber NICHT in die offizielle Vitality-Formel.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 ht="22" customHeight="1">
      <x:c r="A9" s="36" t="str">
        <x:v>Sortierung: Vitality-Modell (bei Gleichstand zuerst HP-Regeneration und Lifeleech). Ein Excel-Filter erlaubt eigenes Sortieren nach Kategorie, Zahlen und Lifeleech.</x:v>
      </x:c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1" ht="34" customHeight="1">
      <x:c r="A11" s="40" t="str">
        <x:v>Rang</x:v>
      </x:c>
      <x:c r="B11" s="40" t="str">
        <x:v>Waffe / Artefakt</x:v>
      </x:c>
      <x:c r="C11" s="40" t="str">
        <x:v>Kategorie</x:v>
      </x:c>
      <x:c r="D11" s="40" t="str">
        <x:v>Welt</x:v>
      </x:c>
      <x:c r="E11" s="40" t="str">
        <x:v>DPS phys. (Modell)</x:v>
      </x:c>
      <x:c r="F11" s="40" t="str">
        <x:v>Vitality (Modell)</x:v>
      </x:c>
      <x:c r="G11" s="40" t="str">
        <x:v>Δ Vitality</x:v>
      </x:c>
      <x:c r="H11" s="40" t="str">
        <x:v>Lifeleech</x:v>
      </x:c>
      <x:c r="I11" s="40" t="str">
        <x:v>Defensiveffekte (erklärt)</x:v>
      </x:c>
      <x:c r="J11" s="40" t="str">
        <x:v>Spezialeffekte – Erklärung</x:v>
      </x:c>
      <x:c r="K11" s="40" t="str">
        <x:v>Tragbarkeit</x:v>
      </x:c>
      <x:c r="L11" s="40" t="str">
        <x:v>Nicht im DPS enthalten</x:v>
      </x:c>
      <x:c r="M11" s="40" t="str">
        <x:v>Quelle / Prüfung</x:v>
      </x:c>
      <x:c r="N11" s="40" t="str">
        <x:v>Endurance Δ</x:v>
      </x:c>
      <x:c r="O11" s="40" t="str">
        <x:v>Armor Class Δ</x:v>
      </x:c>
      <x:c r="P11" s="40" t="str">
        <x:v>Feuer-Res Δ</x:v>
      </x:c>
      <x:c r="Q11" s="40" t="str">
        <x:v>Luft-Res Δ</x:v>
      </x:c>
      <x:c r="R11" s="40" t="str">
        <x:v>Wasser-Res Δ</x:v>
      </x:c>
      <x:c r="S11" s="40" t="str">
        <x:v>Erde-Res Δ</x:v>
      </x:c>
      <x:c r="T11" s="40" t="str">
        <x:v>Mind-Res Δ</x:v>
      </x:c>
      <x:c r="U11" s="40" t="str">
        <x:v>Body-Res Δ</x:v>
      </x:c>
      <x:c r="V11" s="40" t="str">
        <x:v>Spirit-Res Δ</x:v>
      </x:c>
      <x:c r="W11" s="40" t="str">
        <x:v>HP direkt Δ</x:v>
      </x:c>
      <x:c r="X11" s="40" t="str">
        <x:v>DPS-Modellbasis</x:v>
      </x:c>
      <x:c r="Y11" s="40" t="str">
        <x:v>Korrekturfaktor (=1)</x:v>
      </x:c>
      <x:c r="Z11" s="40" t="str">
        <x:v>HP-Regeneration</x:v>
      </x:c>
      <x:c r="AA11" s="40" t="str">
        <x:v>Feuer-Schutz</x:v>
      </x:c>
      <x:c r="AB11" s="40" t="str">
        <x:v>Luft-Schutz</x:v>
      </x:c>
      <x:c r="AC11" s="40" t="str">
        <x:v>Wasser-Schutz</x:v>
      </x:c>
      <x:c r="AD11" s="40" t="str">
        <x:v>Erde-Schutz</x:v>
      </x:c>
      <x:c r="AE11" s="40" t="str">
        <x:v>Mind-Schutz</x:v>
      </x:c>
      <x:c r="AF11" s="40" t="str">
        <x:v>Body-Schutz</x:v>
      </x:c>
      <x:c r="AG11" s="40" t="str">
        <x:v>Spirit-Schutz</x:v>
      </x:c>
      <x:c r="AH11" s="40" t="str">
        <x:v>Phys. Schutz</x:v>
      </x:c>
      <x:c r="AI11" s="40" t="str">
        <x:v>Datenherkunft / Hinweise</x:v>
      </x:c>
      <x:c r="AJ11" s="40" t="str">
        <x:v>Originalschaden</x:v>
      </x:c>
    </x:row>
    <x:row r="12" ht="49" customHeight="1">
      <x:c r="A12" s="44" t="n">
        <x:v>1</x:v>
      </x:c>
      <x:c r="B12" s="44" t="str">
        <x:v>Cronos</x:v>
      </x:c>
      <x:c r="C12" s="44" t="str">
        <x:v>1H-Axt</x:v>
      </x:c>
      <x:c r="D12" s="44" t="str">
        <x:v>MM6</x:v>
      </x:c>
      <x:c r="E12" s="50" t="n">
        <x:f>ROUND(X12*Y12,0)</x:f>
        <x:v>385</x:v>
      </x:c>
      <x:c r="F12" s="51" t="n">
        <x:f>ROUND(($B$5+N12*$H$5+W12)/(1-(AH12/2+(AA12+AB12+AC12+AD12+AE12+AF12)/16+AG12/8)),0)</x:f>
        <x:v>5282</x:v>
      </x:c>
      <x:c r="G12" s="51" t="n">
        <x:f>F12-$B$8</x:f>
        <x:v>1440</x:v>
      </x:c>
      <x:c r="H12" s="44" t="str">
        <x:v>Nein</x:v>
      </x:c>
      <x:c r="I12" s="44" t="str">
        <x:v>+120 Endurance, −60 Luck vor Levelskalierung.</x:v>
      </x:c>
      <x:c r="J12" s="44" t="str">
        <x:v>Keine zusätzliche Schadenswirkung im MAW-Skript nachgewiesen.</x:v>
      </x:c>
      <x:c r="K12" s="44" t="str">
        <x:v>—</x:v>
      </x:c>
      <x:c r="L12" s="44" t="str">
        <x:v>Keine separaten Procs.</x:v>
      </x:c>
      <x:c r="M12" s="44" t="str">
        <x:v>https://github.com/Malekitsu/Maw-Mod-MMMerge/blob/4.5/Scripts/General/zzMaw-Items.lua</x:v>
      </x:c>
      <x:c r="N12" s="54" t="n">
        <x:v>150</x:v>
      </x:c>
      <x:c r="O12" s="54" t="n">
        <x:v>0</x:v>
      </x:c>
      <x:c r="P12" s="54" t="n">
        <x:v>0</x:v>
      </x:c>
      <x:c r="Q12" s="54" t="n">
        <x:v>0</x:v>
      </x:c>
      <x:c r="R12" s="54" t="n">
        <x:v>0</x:v>
      </x:c>
      <x:c r="S12" s="54" t="n">
        <x:v>0</x:v>
      </x:c>
      <x:c r="T12" s="54" t="n">
        <x:v>0</x:v>
      </x:c>
      <x:c r="U12" s="54" t="n">
        <x:v>0</x:v>
      </x:c>
      <x:c r="V12" s="54" t="n">
        <x:v>0</x:v>
      </x:c>
      <x:c r="W12" s="54" t="n">
        <x:v>0</x:v>
      </x:c>
      <x:c r="X12" s="44" t="n">
        <x:v>385</x:v>
      </x:c>
      <x:c r="Y12" s="44" t="n">
        <x:v>1</x:v>
      </x:c>
      <x:c r="Z12" s="44" t="n">
        <x:v>0</x:v>
      </x:c>
      <x:c r="AA12" s="56" t="n">
        <x:f>IF($F$5+P12&gt;=65000,1,1-1/(1+($F$5+P12)/(60+$J$5*0.5)))</x:f>
        <x:v>0.3125</x:v>
      </x:c>
      <x:c r="AB12" s="56" t="n">
        <x:f>IF($F$5+Q12&gt;=65000,1,1-1/(1+($F$5+Q12)/(60+$J$5*0.5)))</x:f>
        <x:v>0.3125</x:v>
      </x:c>
      <x:c r="AC12" s="56" t="n">
        <x:f>IF($F$5+R12&gt;=65000,1,1-1/(1+($F$5+R12)/(60+$J$5*0.5)))</x:f>
        <x:v>0.3125</x:v>
      </x:c>
      <x:c r="AD12" s="56" t="n">
        <x:f>IF($F$5+S12&gt;=65000,1,1-1/(1+($F$5+S12)/(60+$J$5*0.5)))</x:f>
        <x:v>0.3125</x:v>
      </x:c>
      <x:c r="AE12" s="56" t="n">
        <x:f>IF($F$5+T12&gt;=65000,1,1-1/(1+($F$5+T12)/(60+$J$5*0.5)))</x:f>
        <x:v>0.3125</x:v>
      </x:c>
      <x:c r="AF12" s="56" t="n">
        <x:f>IF($F$5+U12&gt;=65000,1,1-1/(1+($F$5+U12)/(60+$J$5*0.5)))</x:f>
        <x:v>0.3125</x:v>
      </x:c>
      <x:c r="AG12" s="56" t="n">
        <x:f>IF($F$5+V12&gt;=65000,1,1-1/(1+($F$5+V12)/(60+$J$5*0.5)))</x:f>
        <x:v>0.3125</x:v>
      </x:c>
      <x:c r="AH12" s="56" t="n">
        <x:f>1-((5+$J$5*2)/(10+$J$5*2+MAX(0,$D$5+O12)))*(1/(1+MAX(0,$D$5+O12)/(90+$J$5*0.25)))</x:f>
        <x:v>0.6462865716429107</x:v>
      </x:c>
      <x:c r="AI12" s="44" t="str">
        <x:v>MAW-Stats</x:v>
      </x:c>
      <x:c r="AJ12" s="44" t="str">
        <x:v>8d4+16</x:v>
      </x:c>
    </x:row>
    <x:row r="13" ht="49" customHeight="1">
      <x:c r="A13" s="44" t="n">
        <x:v>2</x:v>
      </x:c>
      <x:c r="B13" s="44" t="str">
        <x:v>Amuck</x:v>
      </x:c>
      <x:c r="C13" s="44" t="str">
        <x:v>2H-Axt</x:v>
      </x:c>
      <x:c r="D13" s="44" t="str">
        <x:v>MM7</x:v>
      </x:c>
      <x:c r="E13" s="50" t="n">
        <x:f>ROUND(X13*Y13,0)</x:f>
        <x:v>851</x:v>
      </x:c>
      <x:c r="F13" s="51" t="n">
        <x:f>ROUND(($B$5+N13*$H$5+W13)/(1-(AH13/2+(AA13+AB13+AC13+AD13+AE13+AF13)/16+AG13/8)),0)</x:f>
        <x:v>4773</x:v>
      </x:c>
      <x:c r="G13" s="51" t="n">
        <x:f>F13-$B$8</x:f>
        <x:v>931</x:v>
      </x:c>
      <x:c r="H13" s="44" t="str">
        <x:v>Nein</x:v>
      </x:c>
      <x:c r="I13" s="44" t="str">
        <x:v>+100 Might, +100 Endurance und −15 AC laut Gegenstandsbonus (je mit Levelskalierung).</x:v>
      </x:c>
      <x:c r="J13" s="44" t="str">
        <x:v>Hoher physischer Grundschaden; kein geskripteter Trefferproc gefunden.</x:v>
      </x:c>
      <x:c r="K13" s="44" t="str">
        <x:v>—</x:v>
      </x:c>
      <x:c r="L13" s="44" t="str">
        <x:v>Keine besonderen Schadensprocs in Benchmark.</x:v>
      </x:c>
      <x:c r="M13" s="44" t="str">
        <x:v>https://github.com/Malekitsu/Maw-Mod-MMMerge/blob/4.5/Scripts/General/zzMaw-Items.lua</x:v>
      </x:c>
      <x:c r="N13" s="54" t="n">
        <x:v>125</x:v>
      </x:c>
      <x:c r="O13" s="54" t="n">
        <x:v>-18.75</x:v>
      </x:c>
      <x:c r="P13" s="54" t="n">
        <x:v>0</x:v>
      </x:c>
      <x:c r="Q13" s="54" t="n">
        <x:v>0</x:v>
      </x:c>
      <x:c r="R13" s="54" t="n">
        <x:v>0</x:v>
      </x:c>
      <x:c r="S13" s="54" t="n">
        <x:v>0</x:v>
      </x:c>
      <x:c r="T13" s="54" t="n">
        <x:v>0</x:v>
      </x:c>
      <x:c r="U13" s="54" t="n">
        <x:v>0</x:v>
      </x:c>
      <x:c r="V13" s="54" t="n">
        <x:v>0</x:v>
      </x:c>
      <x:c r="W13" s="54" t="n">
        <x:v>0</x:v>
      </x:c>
      <x:c r="X13" s="44" t="n">
        <x:v>851</x:v>
      </x:c>
      <x:c r="Y13" s="44" t="n">
        <x:v>1</x:v>
      </x:c>
      <x:c r="Z13" s="44" t="n">
        <x:v>0</x:v>
      </x:c>
      <x:c r="AA13" s="56" t="n">
        <x:f>IF($F$5+P13&gt;=65000,1,1-1/(1+($F$5+P13)/(60+$J$5*0.5)))</x:f>
        <x:v>0.3125</x:v>
      </x:c>
      <x:c r="AB13" s="56" t="n">
        <x:f>IF($F$5+Q13&gt;=65000,1,1-1/(1+($F$5+Q13)/(60+$J$5*0.5)))</x:f>
        <x:v>0.3125</x:v>
      </x:c>
      <x:c r="AC13" s="56" t="n">
        <x:f>IF($F$5+R13&gt;=65000,1,1-1/(1+($F$5+R13)/(60+$J$5*0.5)))</x:f>
        <x:v>0.3125</x:v>
      </x:c>
      <x:c r="AD13" s="56" t="n">
        <x:f>IF($F$5+S13&gt;=65000,1,1-1/(1+($F$5+S13)/(60+$J$5*0.5)))</x:f>
        <x:v>0.3125</x:v>
      </x:c>
      <x:c r="AE13" s="56" t="n">
        <x:f>IF($F$5+T13&gt;=65000,1,1-1/(1+($F$5+T13)/(60+$J$5*0.5)))</x:f>
        <x:v>0.3125</x:v>
      </x:c>
      <x:c r="AF13" s="56" t="n">
        <x:f>IF($F$5+U13&gt;=65000,1,1-1/(1+($F$5+U13)/(60+$J$5*0.5)))</x:f>
        <x:v>0.3125</x:v>
      </x:c>
      <x:c r="AG13" s="56" t="n">
        <x:f>IF($F$5+V13&gt;=65000,1,1-1/(1+($F$5+V13)/(60+$J$5*0.5)))</x:f>
        <x:v>0.3125</x:v>
      </x:c>
      <x:c r="AH13" s="56" t="n">
        <x:f>1-((5+$J$5*2)/(10+$J$5*2+MAX(0,$D$5+O13)))*(1/(1+MAX(0,$D$5+O13)/(90+$J$5*0.25)))</x:f>
        <x:v>0.5875454470900194</x:v>
      </x:c>
      <x:c r="AI13" s="44" t="str">
        <x:v>MAW-Stats</x:v>
      </x:c>
      <x:c r="AJ13" s="44" t="str">
        <x:v>8d9+16</x:v>
      </x:c>
    </x:row>
    <x:row r="14" ht="49" customHeight="1">
      <x:c r="A14" s="44" t="n">
        <x:v>3</x:v>
      </x:c>
      <x:c r="B14" s="44" t="str">
        <x:v>Hercules</x:v>
      </x:c>
      <x:c r="C14" s="44" t="str">
        <x:v>2H-Schwert</x:v>
      </x:c>
      <x:c r="D14" s="44" t="str">
        <x:v>MM6</x:v>
      </x:c>
      <x:c r="E14" s="50" t="n">
        <x:f>ROUND(X14*Y14,0)</x:f>
        <x:v>885</x:v>
      </x:c>
      <x:c r="F14" s="51" t="n">
        <x:f>ROUND(($B$5+N14*$H$5+W14)/(1-(AH14/2+(AA14+AB14+AC14+AD14+AE14+AF14)/16+AG14/8)),0)</x:f>
        <x:v>4562</x:v>
      </x:c>
      <x:c r="G14" s="51" t="n">
        <x:f>F14-$B$8</x:f>
        <x:v>720</x:v>
      </x:c>
      <x:c r="H14" s="44" t="str">
        <x:v>Nein</x:v>
      </x:c>
      <x:c r="I14" s="44" t="str">
        <x:v>+100 Might, +60 Endurance, −30 Intellect vor MAW-Levelskalierung.</x:v>
      </x:c>
      <x:c r="J14" s="44" t="str">
        <x:v>Starkes Zweihandschwert; hohes Might steigert physischen Schaden.</x:v>
      </x:c>
      <x:c r="K14" s="44" t="str">
        <x:v>—</x:v>
      </x:c>
      <x:c r="L14" s="44" t="str">
        <x:v>Keine zusätzlichen Trefferprocs modelliert.</x:v>
      </x:c>
      <x:c r="M14" s="44" t="str">
        <x:v>https://github.com/Malekitsu/Maw-Mod-MMMerge/blob/4.5/Scripts/General/zzMaw-Items.lua</x:v>
      </x:c>
      <x:c r="N14" s="54" t="n">
        <x:v>75</x:v>
      </x:c>
      <x:c r="O14" s="54" t="n">
        <x:v>0</x:v>
      </x:c>
      <x:c r="P14" s="54" t="n">
        <x:v>0</x:v>
      </x:c>
      <x:c r="Q14" s="54" t="n">
        <x:v>0</x:v>
      </x:c>
      <x:c r="R14" s="54" t="n">
        <x:v>0</x:v>
      </x:c>
      <x:c r="S14" s="54" t="n">
        <x:v>0</x:v>
      </x:c>
      <x:c r="T14" s="54" t="n">
        <x:v>0</x:v>
      </x:c>
      <x:c r="U14" s="54" t="n">
        <x:v>0</x:v>
      </x:c>
      <x:c r="V14" s="54" t="n">
        <x:v>0</x:v>
      </x:c>
      <x:c r="W14" s="54" t="n">
        <x:v>0</x:v>
      </x:c>
      <x:c r="X14" s="44" t="n">
        <x:v>885</x:v>
      </x:c>
      <x:c r="Y14" s="44" t="n">
        <x:v>1</x:v>
      </x:c>
      <x:c r="Z14" s="44" t="n">
        <x:v>0</x:v>
      </x:c>
      <x:c r="AA14" s="56" t="n">
        <x:f>IF($F$5+P14&gt;=65000,1,1-1/(1+($F$5+P14)/(60+$J$5*0.5)))</x:f>
        <x:v>0.3125</x:v>
      </x:c>
      <x:c r="AB14" s="56" t="n">
        <x:f>IF($F$5+Q14&gt;=65000,1,1-1/(1+($F$5+Q14)/(60+$J$5*0.5)))</x:f>
        <x:v>0.3125</x:v>
      </x:c>
      <x:c r="AC14" s="56" t="n">
        <x:f>IF($F$5+R14&gt;=65000,1,1-1/(1+($F$5+R14)/(60+$J$5*0.5)))</x:f>
        <x:v>0.3125</x:v>
      </x:c>
      <x:c r="AD14" s="56" t="n">
        <x:f>IF($F$5+S14&gt;=65000,1,1-1/(1+($F$5+S14)/(60+$J$5*0.5)))</x:f>
        <x:v>0.3125</x:v>
      </x:c>
      <x:c r="AE14" s="56" t="n">
        <x:f>IF($F$5+T14&gt;=65000,1,1-1/(1+($F$5+T14)/(60+$J$5*0.5)))</x:f>
        <x:v>0.3125</x:v>
      </x:c>
      <x:c r="AF14" s="56" t="n">
        <x:f>IF($F$5+U14&gt;=65000,1,1-1/(1+($F$5+U14)/(60+$J$5*0.5)))</x:f>
        <x:v>0.3125</x:v>
      </x:c>
      <x:c r="AG14" s="56" t="n">
        <x:f>IF($F$5+V14&gt;=65000,1,1-1/(1+($F$5+V14)/(60+$J$5*0.5)))</x:f>
        <x:v>0.3125</x:v>
      </x:c>
      <x:c r="AH14" s="56" t="n">
        <x:f>1-((5+$J$5*2)/(10+$J$5*2+MAX(0,$D$5+O14)))*(1/(1+MAX(0,$D$5+O14)/(90+$J$5*0.25)))</x:f>
        <x:v>0.6462865716429107</x:v>
      </x:c>
      <x:c r="AI14" s="44" t="str">
        <x:v>MAW-Stats</x:v>
      </x:c>
      <x:c r="AJ14" s="44" t="str">
        <x:v>6d12+20</x:v>
      </x:c>
    </x:row>
    <x:row r="15" ht="49" customHeight="1">
      <x:c r="A15" s="44" t="n">
        <x:v>4</x:v>
      </x:c>
      <x:c r="B15" s="44" t="str">
        <x:v>Wyrm Spitter</x:v>
      </x:c>
      <x:c r="C15" s="44" t="str">
        <x:v>Speer</x:v>
      </x:c>
      <x:c r="D15" s="44" t="str">
        <x:v>MM8</x:v>
      </x:c>
      <x:c r="E15" s="50" t="n">
        <x:f>ROUND(X15*Y15,0)</x:f>
        <x:v>293</x:v>
      </x:c>
      <x:c r="F15" s="51" t="n">
        <x:f>ROUND(($B$5+N15*$H$5+W15)/(1-(AH15/2+(AA15+AB15+AC15+AD15+AE15+AF15)/16+AG15/8)),0)</x:f>
        <x:v>4562</x:v>
      </x:c>
      <x:c r="G15" s="51" t="n">
        <x:f>F15-$B$8</x:f>
        <x:v>720</x:v>
      </x:c>
      <x:c r="H15" s="44" t="str">
        <x:v>Nein</x:v>
      </x:c>
      <x:c r="I15" s="44" t="str">
        <x:v>+60 Endurance vor Levelskalierung.</x:v>
      </x:c>
      <x:c r="J15" s="44" t="str">
        <x:v>Dragon Slaying und Swift laut Itemtext; gegen Drachen deutlich besser.</x:v>
      </x:c>
      <x:c r="K15" s="44" t="str">
        <x:v>1H/2H-fähig.</x:v>
      </x:c>
      <x:c r="L15" s="44" t="str">
        <x:v>Slayer und Swift nicht eingerechnet.</x:v>
      </x:c>
      <x:c r="M15" s="44" t="str">
        <x:v>https://github.com/Malekitsu/Maw-Mod-MMMerge/blob/4.5/Scripts/General/zzMaw-Items.lua</x:v>
      </x:c>
      <x:c r="N15" s="54" t="n">
        <x:v>75</x:v>
      </x:c>
      <x:c r="O15" s="54" t="n">
        <x:v>0</x:v>
      </x:c>
      <x:c r="P15" s="54" t="n">
        <x:v>0</x:v>
      </x:c>
      <x:c r="Q15" s="54" t="n">
        <x:v>0</x:v>
      </x:c>
      <x:c r="R15" s="54" t="n">
        <x:v>0</x:v>
      </x:c>
      <x:c r="S15" s="54" t="n">
        <x:v>0</x:v>
      </x:c>
      <x:c r="T15" s="54" t="n">
        <x:v>0</x:v>
      </x:c>
      <x:c r="U15" s="54" t="n">
        <x:v>0</x:v>
      </x:c>
      <x:c r="V15" s="54" t="n">
        <x:v>0</x:v>
      </x:c>
      <x:c r="W15" s="54" t="n">
        <x:v>0</x:v>
      </x:c>
      <x:c r="X15" s="44" t="n">
        <x:v>293</x:v>
      </x:c>
      <x:c r="Y15" s="44" t="n">
        <x:v>1</x:v>
      </x:c>
      <x:c r="Z15" s="44" t="n">
        <x:v>0</x:v>
      </x:c>
      <x:c r="AA15" s="56" t="n">
        <x:f>IF($F$5+P15&gt;=65000,1,1-1/(1+($F$5+P15)/(60+$J$5*0.5)))</x:f>
        <x:v>0.3125</x:v>
      </x:c>
      <x:c r="AB15" s="56" t="n">
        <x:f>IF($F$5+Q15&gt;=65000,1,1-1/(1+($F$5+Q15)/(60+$J$5*0.5)))</x:f>
        <x:v>0.3125</x:v>
      </x:c>
      <x:c r="AC15" s="56" t="n">
        <x:f>IF($F$5+R15&gt;=65000,1,1-1/(1+($F$5+R15)/(60+$J$5*0.5)))</x:f>
        <x:v>0.3125</x:v>
      </x:c>
      <x:c r="AD15" s="56" t="n">
        <x:f>IF($F$5+S15&gt;=65000,1,1-1/(1+($F$5+S15)/(60+$J$5*0.5)))</x:f>
        <x:v>0.3125</x:v>
      </x:c>
      <x:c r="AE15" s="56" t="n">
        <x:f>IF($F$5+T15&gt;=65000,1,1-1/(1+($F$5+T15)/(60+$J$5*0.5)))</x:f>
        <x:v>0.3125</x:v>
      </x:c>
      <x:c r="AF15" s="56" t="n">
        <x:f>IF($F$5+U15&gt;=65000,1,1-1/(1+($F$5+U15)/(60+$J$5*0.5)))</x:f>
        <x:v>0.3125</x:v>
      </x:c>
      <x:c r="AG15" s="56" t="n">
        <x:f>IF($F$5+V15&gt;=65000,1,1-1/(1+($F$5+V15)/(60+$J$5*0.5)))</x:f>
        <x:v>0.3125</x:v>
      </x:c>
      <x:c r="AH15" s="56" t="n">
        <x:f>1-((5+$J$5*2)/(10+$J$5*2+MAX(0,$D$5+O15)))*(1/(1+MAX(0,$D$5+O15)/(90+$J$5*0.25)))</x:f>
        <x:v>0.6462865716429107</x:v>
      </x:c>
      <x:c r="AI15" s="44" t="str">
        <x:v>Text + MAW-Stats</x:v>
      </x:c>
      <x:c r="AJ15" s="44" t="str">
        <x:v>5d9+17</x:v>
      </x:c>
    </x:row>
    <x:row r="16" ht="49" customHeight="1">
      <x:c r="A16" s="44" t="n">
        <x:v>5</x:v>
      </x:c>
      <x:c r="B16" s="44" t="str">
        <x:v>Judicious Measure</x:v>
      </x:c>
      <x:c r="C16" s="44" t="str">
        <x:v>1H-Schwert</x:v>
      </x:c>
      <x:c r="D16" s="44" t="str">
        <x:v>MM8</x:v>
      </x:c>
      <x:c r="E16" s="50" t="n">
        <x:f>ROUND(X16*Y16,0)</x:f>
        <x:v>416</x:v>
      </x:c>
      <x:c r="F16" s="51" t="n">
        <x:f>ROUND(($B$5+N16*$H$5+W16)/(1-(AH16/2+(AA16+AB16+AC16+AD16+AE16+AF16)/16+AG16/8)),0)</x:f>
        <x:v>4322</x:v>
      </x:c>
      <x:c r="G16" s="51" t="n">
        <x:f>F16-$B$8</x:f>
        <x:v>480</x:v>
      </x:c>
      <x:c r="H16" s="44" t="str">
        <x:v>Nein</x:v>
      </x:c>
      <x:c r="I16" s="44" t="str">
        <x:v>+40 Endurance und +40 Luck vor Levelskalierung.</x:v>
      </x:c>
      <x:c r="J16" s="44" t="str">
        <x:v>Ogre Slaying: situationsabhängiger Bonus gegen Oger.</x:v>
      </x:c>
      <x:c r="K16" s="44" t="str">
        <x:v>—</x:v>
      </x:c>
      <x:c r="L16" s="44" t="str">
        <x:v>Ogre Slaying nicht in DPS.</x:v>
      </x:c>
      <x:c r="M16" s="44" t="str">
        <x:v>https://github.com/Malekitsu/Maw-Mod-MMMerge/blob/4.5/Scripts/General/zzMaw-Items.lua</x:v>
      </x:c>
      <x:c r="N16" s="54" t="n">
        <x:v>50</x:v>
      </x:c>
      <x:c r="O16" s="54" t="n">
        <x:v>0</x:v>
      </x:c>
      <x:c r="P16" s="54" t="n">
        <x:v>0</x:v>
      </x:c>
      <x:c r="Q16" s="54" t="n">
        <x:v>0</x:v>
      </x:c>
      <x:c r="R16" s="54" t="n">
        <x:v>0</x:v>
      </x:c>
      <x:c r="S16" s="54" t="n">
        <x:v>0</x:v>
      </x:c>
      <x:c r="T16" s="54" t="n">
        <x:v>0</x:v>
      </x:c>
      <x:c r="U16" s="54" t="n">
        <x:v>0</x:v>
      </x:c>
      <x:c r="V16" s="54" t="n">
        <x:v>0</x:v>
      </x:c>
      <x:c r="W16" s="54" t="n">
        <x:v>0</x:v>
      </x:c>
      <x:c r="X16" s="44" t="n">
        <x:v>416</x:v>
      </x:c>
      <x:c r="Y16" s="44" t="n">
        <x:v>1</x:v>
      </x:c>
      <x:c r="Z16" s="44" t="n">
        <x:v>0</x:v>
      </x:c>
      <x:c r="AA16" s="56" t="n">
        <x:f>IF($F$5+P16&gt;=65000,1,1-1/(1+($F$5+P16)/(60+$J$5*0.5)))</x:f>
        <x:v>0.3125</x:v>
      </x:c>
      <x:c r="AB16" s="56" t="n">
        <x:f>IF($F$5+Q16&gt;=65000,1,1-1/(1+($F$5+Q16)/(60+$J$5*0.5)))</x:f>
        <x:v>0.3125</x:v>
      </x:c>
      <x:c r="AC16" s="56" t="n">
        <x:f>IF($F$5+R16&gt;=65000,1,1-1/(1+($F$5+R16)/(60+$J$5*0.5)))</x:f>
        <x:v>0.3125</x:v>
      </x:c>
      <x:c r="AD16" s="56" t="n">
        <x:f>IF($F$5+S16&gt;=65000,1,1-1/(1+($F$5+S16)/(60+$J$5*0.5)))</x:f>
        <x:v>0.3125</x:v>
      </x:c>
      <x:c r="AE16" s="56" t="n">
        <x:f>IF($F$5+T16&gt;=65000,1,1-1/(1+($F$5+T16)/(60+$J$5*0.5)))</x:f>
        <x:v>0.3125</x:v>
      </x:c>
      <x:c r="AF16" s="56" t="n">
        <x:f>IF($F$5+U16&gt;=65000,1,1-1/(1+($F$5+U16)/(60+$J$5*0.5)))</x:f>
        <x:v>0.3125</x:v>
      </x:c>
      <x:c r="AG16" s="56" t="n">
        <x:f>IF($F$5+V16&gt;=65000,1,1-1/(1+($F$5+V16)/(60+$J$5*0.5)))</x:f>
        <x:v>0.3125</x:v>
      </x:c>
      <x:c r="AH16" s="56" t="n">
        <x:f>1-((5+$J$5*2)/(10+$J$5*2+MAX(0,$D$5+O16)))*(1/(1+MAX(0,$D$5+O16)/(90+$J$5*0.25)))</x:f>
        <x:v>0.6462865716429107</x:v>
      </x:c>
      <x:c r="AI16" s="44" t="str">
        <x:v>Text + MAW-Stats</x:v>
      </x:c>
      <x:c r="AJ16" s="44" t="str">
        <x:v>6d5+16</x:v>
      </x:c>
    </x:row>
    <x:row r="17" ht="49" customHeight="1">
      <x:c r="A17" s="44" t="n">
        <x:v>6</x:v>
      </x:c>
      <x:c r="B17" s="44" t="str">
        <x:v>Breaker</x:v>
      </x:c>
      <x:c r="C17" s="44" t="str">
        <x:v>Mace</x:v>
      </x:c>
      <x:c r="D17" s="44" t="str">
        <x:v>MM8</x:v>
      </x:c>
      <x:c r="E17" s="50" t="n">
        <x:f>ROUND(X17*Y17,0)</x:f>
        <x:v>287</x:v>
      </x:c>
      <x:c r="F17" s="51" t="n">
        <x:f>ROUND(($B$5+N17*$H$5+W17)/(1-(AH17/2+(AA17+AB17+AC17+AD17+AE17+AF17)/16+AG17/8)),0)</x:f>
        <x:v>4202</x:v>
      </x:c>
      <x:c r="G17" s="51" t="n">
        <x:f>F17-$B$8</x:f>
        <x:v>360</x:v>
      </x:c>
      <x:c r="H17" s="44" t="str">
        <x:v>Nein</x:v>
      </x:c>
      <x:c r="I17" s="44" t="str">
        <x:v>+30 Might, +30 Endurance vor Levelskalierung.</x:v>
      </x:c>
      <x:c r="J17" s="44" t="str">
        <x:v>Körperschaden je Treffer und erhöhte Might.</x:v>
      </x:c>
      <x:c r="K17" s="44" t="str">
        <x:v>—</x:v>
      </x:c>
      <x:c r="L17" s="44" t="str">
        <x:v>Körperschaden nicht in DPS.</x:v>
      </x:c>
      <x:c r="M17" s="44" t="str">
        <x:v>https://github.com/Malekitsu/Maw-Mod-MMMerge/blob/4.5/Scripts/General/zzMaw-Items.lua</x:v>
      </x:c>
      <x:c r="N17" s="54" t="n">
        <x:v>37.5</x:v>
      </x:c>
      <x:c r="O17" s="54" t="n">
        <x:v>0</x:v>
      </x:c>
      <x:c r="P17" s="54" t="n">
        <x:v>0</x:v>
      </x:c>
      <x:c r="Q17" s="54" t="n">
        <x:v>0</x:v>
      </x:c>
      <x:c r="R17" s="54" t="n">
        <x:v>0</x:v>
      </x:c>
      <x:c r="S17" s="54" t="n">
        <x:v>0</x:v>
      </x:c>
      <x:c r="T17" s="54" t="n">
        <x:v>0</x:v>
      </x:c>
      <x:c r="U17" s="54" t="n">
        <x:v>0</x:v>
      </x:c>
      <x:c r="V17" s="54" t="n">
        <x:v>0</x:v>
      </x:c>
      <x:c r="W17" s="54" t="n">
        <x:v>0</x:v>
      </x:c>
      <x:c r="X17" s="44" t="n">
        <x:v>287</x:v>
      </x:c>
      <x:c r="Y17" s="44" t="n">
        <x:v>1</x:v>
      </x:c>
      <x:c r="Z17" s="44" t="n">
        <x:v>0</x:v>
      </x:c>
      <x:c r="AA17" s="56" t="n">
        <x:f>IF($F$5+P17&gt;=65000,1,1-1/(1+($F$5+P17)/(60+$J$5*0.5)))</x:f>
        <x:v>0.3125</x:v>
      </x:c>
      <x:c r="AB17" s="56" t="n">
        <x:f>IF($F$5+Q17&gt;=65000,1,1-1/(1+($F$5+Q17)/(60+$J$5*0.5)))</x:f>
        <x:v>0.3125</x:v>
      </x:c>
      <x:c r="AC17" s="56" t="n">
        <x:f>IF($F$5+R17&gt;=65000,1,1-1/(1+($F$5+R17)/(60+$J$5*0.5)))</x:f>
        <x:v>0.3125</x:v>
      </x:c>
      <x:c r="AD17" s="56" t="n">
        <x:f>IF($F$5+S17&gt;=65000,1,1-1/(1+($F$5+S17)/(60+$J$5*0.5)))</x:f>
        <x:v>0.3125</x:v>
      </x:c>
      <x:c r="AE17" s="56" t="n">
        <x:f>IF($F$5+T17&gt;=65000,1,1-1/(1+($F$5+T17)/(60+$J$5*0.5)))</x:f>
        <x:v>0.3125</x:v>
      </x:c>
      <x:c r="AF17" s="56" t="n">
        <x:f>IF($F$5+U17&gt;=65000,1,1-1/(1+($F$5+U17)/(60+$J$5*0.5)))</x:f>
        <x:v>0.3125</x:v>
      </x:c>
      <x:c r="AG17" s="56" t="n">
        <x:f>IF($F$5+V17&gt;=65000,1,1-1/(1+($F$5+V17)/(60+$J$5*0.5)))</x:f>
        <x:v>0.3125</x:v>
      </x:c>
      <x:c r="AH17" s="56" t="n">
        <x:f>1-((5+$J$5*2)/(10+$J$5*2+MAX(0,$D$5+O17)))*(1/(1+MAX(0,$D$5+O17)/(90+$J$5*0.25)))</x:f>
        <x:v>0.6462865716429107</x:v>
      </x:c>
      <x:c r="AI17" s="44" t="str">
        <x:v>Text + MAW-Stats</x:v>
      </x:c>
      <x:c r="AJ17" s="44" t="str">
        <x:v>10d3+12</x:v>
      </x:c>
    </x:row>
    <x:row r="18" ht="49" customHeight="1">
      <x:c r="A18" s="44" t="n">
        <x:v>7</x:v>
      </x:c>
      <x:c r="B18" s="44" t="str">
        <x:v>Splitter</x:v>
      </x:c>
      <x:c r="C18" s="44" t="str">
        <x:v>1H-Axt</x:v>
      </x:c>
      <x:c r="D18" s="44" t="str">
        <x:v>MM7</x:v>
      </x:c>
      <x:c r="E18" s="50" t="n">
        <x:f>ROUND(X18*Y18,0)</x:f>
        <x:v>303</x:v>
      </x:c>
      <x:c r="F18" s="51" t="n">
        <x:f>ROUND(($B$5+N18*$H$5+W18)/(1-(AH18/2+(AA18+AB18+AC18+AD18+AE18+AF18)/16+AG18/8)),0)</x:f>
        <x:v>4187</x:v>
      </x:c>
      <x:c r="G18" s="51" t="n">
        <x:f>F18-$B$8</x:f>
        <x:v>345</x:v>
      </x:c>
      <x:c r="H18" s="44" t="str">
        <x:v>Nein</x:v>
      </x:c>
      <x:c r="I18" s="44" t="str">
        <x:v>Extrem hohe Feuerresistenz (+65000), im MAW-Modell praktisch Feuerimmunität.</x:v>
      </x:c>
      <x:c r="J18" s="44" t="str">
        <x:v>Explosive Feuerwirkung bei Treffern; zusätzlich Feuer-Zusatzschaden (10 Basis).</x:v>
      </x:c>
      <x:c r="K18" s="44" t="str">
        <x:v>—</x:v>
      </x:c>
      <x:c r="L18" s="44" t="str">
        <x:v>Explosion/Fläche nicht in DPS.</x:v>
      </x:c>
      <x:c r="M18" s="44" t="str">
        <x:v>https://github.com/Malekitsu/Maw-Mod-MMMerge/blob/4.5/Scripts/Global/ExtraArtifacts.lua</x:v>
      </x:c>
      <x:c r="N18" s="54" t="n">
        <x:v>0</x:v>
      </x:c>
      <x:c r="O18" s="54" t="n">
        <x:v>0</x:v>
      </x:c>
      <x:c r="P18" s="54" t="n">
        <x:v>81250</x:v>
      </x:c>
      <x:c r="Q18" s="54" t="n">
        <x:v>0</x:v>
      </x:c>
      <x:c r="R18" s="54" t="n">
        <x:v>0</x:v>
      </x:c>
      <x:c r="S18" s="54" t="n">
        <x:v>0</x:v>
      </x:c>
      <x:c r="T18" s="54" t="n">
        <x:v>0</x:v>
      </x:c>
      <x:c r="U18" s="54" t="n">
        <x:v>0</x:v>
      </x:c>
      <x:c r="V18" s="54" t="n">
        <x:v>0</x:v>
      </x:c>
      <x:c r="W18" s="54" t="n">
        <x:v>0</x:v>
      </x:c>
      <x:c r="X18" s="44" t="n">
        <x:v>303</x:v>
      </x:c>
      <x:c r="Y18" s="44" t="n">
        <x:v>1</x:v>
      </x:c>
      <x:c r="Z18" s="44" t="n">
        <x:v>0</x:v>
      </x:c>
      <x:c r="AA18" s="56" t="n">
        <x:f>IF($F$5+P18&gt;=65000,1,1-1/(1+($F$5+P18)/(60+$J$5*0.5)))</x:f>
        <x:v>1</x:v>
      </x:c>
      <x:c r="AB18" s="56" t="n">
        <x:f>IF($F$5+Q18&gt;=65000,1,1-1/(1+($F$5+Q18)/(60+$J$5*0.5)))</x:f>
        <x:v>0.3125</x:v>
      </x:c>
      <x:c r="AC18" s="56" t="n">
        <x:f>IF($F$5+R18&gt;=65000,1,1-1/(1+($F$5+R18)/(60+$J$5*0.5)))</x:f>
        <x:v>0.3125</x:v>
      </x:c>
      <x:c r="AD18" s="56" t="n">
        <x:f>IF($F$5+S18&gt;=65000,1,1-1/(1+($F$5+S18)/(60+$J$5*0.5)))</x:f>
        <x:v>0.3125</x:v>
      </x:c>
      <x:c r="AE18" s="56" t="n">
        <x:f>IF($F$5+T18&gt;=65000,1,1-1/(1+($F$5+T18)/(60+$J$5*0.5)))</x:f>
        <x:v>0.3125</x:v>
      </x:c>
      <x:c r="AF18" s="56" t="n">
        <x:f>IF($F$5+U18&gt;=65000,1,1-1/(1+($F$5+U18)/(60+$J$5*0.5)))</x:f>
        <x:v>0.3125</x:v>
      </x:c>
      <x:c r="AG18" s="56" t="n">
        <x:f>IF($F$5+V18&gt;=65000,1,1-1/(1+($F$5+V18)/(60+$J$5*0.5)))</x:f>
        <x:v>0.3125</x:v>
      </x:c>
      <x:c r="AH18" s="56" t="n">
        <x:f>1-((5+$J$5*2)/(10+$J$5*2+MAX(0,$D$5+O18)))*(1/(1+MAX(0,$D$5+O18)/(90+$J$5*0.25)))</x:f>
        <x:v>0.6462865716429107</x:v>
      </x:c>
      <x:c r="AI18" s="44" t="str">
        <x:v>Skript + MAW-Stats</x:v>
      </x:c>
      <x:c r="AJ18" s="44" t="str">
        <x:v>4d2+13</x:v>
      </x:c>
    </x:row>
    <x:row r="19" ht="49" customHeight="1">
      <x:c r="A19" s="44" t="n">
        <x:v>8</x:v>
      </x:c>
      <x:c r="B19" s="44" t="str">
        <x:v>Poseidon</x:v>
      </x:c>
      <x:c r="C19" s="44" t="str">
        <x:v>Speer</x:v>
      </x:c>
      <x:c r="D19" s="44" t="str">
        <x:v>MM6</x:v>
      </x:c>
      <x:c r="E19" s="50" t="n">
        <x:f>ROUND(X19*Y19,0)</x:f>
        <x:v>413</x:v>
      </x:c>
      <x:c r="F19" s="51" t="n">
        <x:f>ROUND(($B$5+N19*$H$5+W19)/(1-(AH19/2+(AA19+AB19+AC19+AD19+AE19+AF19)/16+AG19/8)),0)</x:f>
        <x:v>4171</x:v>
      </x:c>
      <x:c r="G19" s="51" t="n">
        <x:f>F19-$B$8</x:f>
        <x:v>329</x:v>
      </x:c>
      <x:c r="H19" s="44" t="str">
        <x:v>Nein</x:v>
      </x:c>
      <x:c r="I19" s="44" t="str">
        <x:v>+40 Might, Endurance, Accuracy; −10 Speed und −10 AC vor Skalierung.</x:v>
      </x:c>
      <x:c r="J19" s="44" t="str">
        <x:v>Hoher Grundschaden; Speer-GM-Resistenzsenkung kann Folgeangriffe verstärken.</x:v>
      </x:c>
      <x:c r="K19" s="44" t="str">
        <x:v>1H/2H-fähig.</x:v>
      </x:c>
      <x:c r="L19" s="44" t="str">
        <x:v>Speer-GM-Debuff nicht in Basis-DPS.</x:v>
      </x:c>
      <x:c r="M19" s="44" t="str">
        <x:v>https://github.com/Malekitsu/Maw-Mod-MMMerge/blob/4.5/Scripts/General/zzMaw-Items.lua</x:v>
      </x:c>
      <x:c r="N19" s="54" t="n">
        <x:v>50</x:v>
      </x:c>
      <x:c r="O19" s="54" t="n">
        <x:v>-12.5</x:v>
      </x:c>
      <x:c r="P19" s="54" t="n">
        <x:v>0</x:v>
      </x:c>
      <x:c r="Q19" s="54" t="n">
        <x:v>0</x:v>
      </x:c>
      <x:c r="R19" s="54" t="n">
        <x:v>0</x:v>
      </x:c>
      <x:c r="S19" s="54" t="n">
        <x:v>0</x:v>
      </x:c>
      <x:c r="T19" s="54" t="n">
        <x:v>0</x:v>
      </x:c>
      <x:c r="U19" s="54" t="n">
        <x:v>0</x:v>
      </x:c>
      <x:c r="V19" s="54" t="n">
        <x:v>0</x:v>
      </x:c>
      <x:c r="W19" s="54" t="n">
        <x:v>0</x:v>
      </x:c>
      <x:c r="X19" s="44" t="n">
        <x:v>413</x:v>
      </x:c>
      <x:c r="Y19" s="44" t="n">
        <x:v>1</x:v>
      </x:c>
      <x:c r="Z19" s="44" t="n">
        <x:v>0</x:v>
      </x:c>
      <x:c r="AA19" s="56" t="n">
        <x:f>IF($F$5+P19&gt;=65000,1,1-1/(1+($F$5+P19)/(60+$J$5*0.5)))</x:f>
        <x:v>0.3125</x:v>
      </x:c>
      <x:c r="AB19" s="56" t="n">
        <x:f>IF($F$5+Q19&gt;=65000,1,1-1/(1+($F$5+Q19)/(60+$J$5*0.5)))</x:f>
        <x:v>0.3125</x:v>
      </x:c>
      <x:c r="AC19" s="56" t="n">
        <x:f>IF($F$5+R19&gt;=65000,1,1-1/(1+($F$5+R19)/(60+$J$5*0.5)))</x:f>
        <x:v>0.3125</x:v>
      </x:c>
      <x:c r="AD19" s="56" t="n">
        <x:f>IF($F$5+S19&gt;=65000,1,1-1/(1+($F$5+S19)/(60+$J$5*0.5)))</x:f>
        <x:v>0.3125</x:v>
      </x:c>
      <x:c r="AE19" s="56" t="n">
        <x:f>IF($F$5+T19&gt;=65000,1,1-1/(1+($F$5+T19)/(60+$J$5*0.5)))</x:f>
        <x:v>0.3125</x:v>
      </x:c>
      <x:c r="AF19" s="56" t="n">
        <x:f>IF($F$5+U19&gt;=65000,1,1-1/(1+($F$5+U19)/(60+$J$5*0.5)))</x:f>
        <x:v>0.3125</x:v>
      </x:c>
      <x:c r="AG19" s="56" t="n">
        <x:f>IF($F$5+V19&gt;=65000,1,1-1/(1+($F$5+V19)/(60+$J$5*0.5)))</x:f>
        <x:v>0.3125</x:v>
      </x:c>
      <x:c r="AH19" s="56" t="n">
        <x:f>1-((5+$J$5*2)/(10+$J$5*2+MAX(0,$D$5+O19)))*(1/(1+MAX(0,$D$5+O19)/(90+$J$5*0.25)))</x:f>
        <x:v>0.6086730988691773</x:v>
      </x:c>
      <x:c r="AI19" s="44" t="str">
        <x:v>MAW-Stats</x:v>
      </x:c>
      <x:c r="AJ19" s="44" t="str">
        <x:v>9d9+19</x:v>
      </x:c>
    </x:row>
    <x:row r="20" ht="49" customHeight="1">
      <x:c r="A20" s="44" t="n">
        <x:v>9</x:v>
      </x:c>
      <x:c r="B20" s="44" t="str">
        <x:v>Guardian</x:v>
      </x:c>
      <x:c r="C20" s="44" t="str">
        <x:v>Speer</x:v>
      </x:c>
      <x:c r="D20" s="44" t="str">
        <x:v>MM8</x:v>
      </x:c>
      <x:c r="E20" s="50" t="n">
        <x:f>ROUND(X20*Y20,0)</x:f>
        <x:v>301</x:v>
      </x:c>
      <x:c r="F20" s="51" t="n">
        <x:f>ROUND(($B$5+N20*$H$5+W20)/(1-(AH20/2+(AA20+AB20+AC20+AD20+AE20+AF20)/16+AG20/8)),0)</x:f>
        <x:v>4082</x:v>
      </x:c>
      <x:c r="G20" s="51" t="n">
        <x:f>F20-$B$8</x:f>
        <x:v>240</x:v>
      </x:c>
      <x:c r="H20" s="44" t="str">
        <x:v>Nein</x:v>
      </x:c>
      <x:c r="I20" s="44" t="str">
        <x:v>+20 auf alle Attribute vor Levelskalierung; Endurance/Speed enthalten.</x:v>
      </x:c>
      <x:c r="J20" s="44" t="str">
        <x:v>Körperschaden pro Treffer; zusätzlich kleine Boni auf alle Hauptattribute.</x:v>
      </x:c>
      <x:c r="K20" s="44" t="str">
        <x:v>1H/2H-fähig (Hellebarde).</x:v>
      </x:c>
      <x:c r="L20" s="44" t="str">
        <x:v>Körperschaden nicht in DPS.</x:v>
      </x:c>
      <x:c r="M20" s="44" t="str">
        <x:v>https://github.com/Malekitsu/Maw-Mod-MMMerge/blob/4.5/Scripts/General/zzMaw-Items.lua</x:v>
      </x:c>
      <x:c r="N20" s="54" t="n">
        <x:v>25</x:v>
      </x:c>
      <x:c r="O20" s="54" t="n">
        <x:v>0</x:v>
      </x:c>
      <x:c r="P20" s="54" t="n">
        <x:v>0</x:v>
      </x:c>
      <x:c r="Q20" s="54" t="n">
        <x:v>0</x:v>
      </x:c>
      <x:c r="R20" s="54" t="n">
        <x:v>0</x:v>
      </x:c>
      <x:c r="S20" s="54" t="n">
        <x:v>0</x:v>
      </x:c>
      <x:c r="T20" s="54" t="n">
        <x:v>0</x:v>
      </x:c>
      <x:c r="U20" s="54" t="n">
        <x:v>0</x:v>
      </x:c>
      <x:c r="V20" s="54" t="n">
        <x:v>0</x:v>
      </x:c>
      <x:c r="W20" s="54" t="n">
        <x:v>0</x:v>
      </x:c>
      <x:c r="X20" s="44" t="n">
        <x:v>301</x:v>
      </x:c>
      <x:c r="Y20" s="44" t="n">
        <x:v>1</x:v>
      </x:c>
      <x:c r="Z20" s="44" t="n">
        <x:v>0</x:v>
      </x:c>
      <x:c r="AA20" s="56" t="n">
        <x:f>IF($F$5+P20&gt;=65000,1,1-1/(1+($F$5+P20)/(60+$J$5*0.5)))</x:f>
        <x:v>0.3125</x:v>
      </x:c>
      <x:c r="AB20" s="56" t="n">
        <x:f>IF($F$5+Q20&gt;=65000,1,1-1/(1+($F$5+Q20)/(60+$J$5*0.5)))</x:f>
        <x:v>0.3125</x:v>
      </x:c>
      <x:c r="AC20" s="56" t="n">
        <x:f>IF($F$5+R20&gt;=65000,1,1-1/(1+($F$5+R20)/(60+$J$5*0.5)))</x:f>
        <x:v>0.3125</x:v>
      </x:c>
      <x:c r="AD20" s="56" t="n">
        <x:f>IF($F$5+S20&gt;=65000,1,1-1/(1+($F$5+S20)/(60+$J$5*0.5)))</x:f>
        <x:v>0.3125</x:v>
      </x:c>
      <x:c r="AE20" s="56" t="n">
        <x:f>IF($F$5+T20&gt;=65000,1,1-1/(1+($F$5+T20)/(60+$J$5*0.5)))</x:f>
        <x:v>0.3125</x:v>
      </x:c>
      <x:c r="AF20" s="56" t="n">
        <x:f>IF($F$5+U20&gt;=65000,1,1-1/(1+($F$5+U20)/(60+$J$5*0.5)))</x:f>
        <x:v>0.3125</x:v>
      </x:c>
      <x:c r="AG20" s="56" t="n">
        <x:f>IF($F$5+V20&gt;=65000,1,1-1/(1+($F$5+V20)/(60+$J$5*0.5)))</x:f>
        <x:v>0.3125</x:v>
      </x:c>
      <x:c r="AH20" s="56" t="n">
        <x:f>1-((5+$J$5*2)/(10+$J$5*2+MAX(0,$D$5+O20)))*(1/(1+MAX(0,$D$5+O20)/(90+$J$5*0.25)))</x:f>
        <x:v>0.6462865716429107</x:v>
      </x:c>
      <x:c r="AI20" s="44" t="str">
        <x:v>Text + MAW-Stats</x:v>
      </x:c>
      <x:c r="AJ20" s="44" t="str">
        <x:v>6d6+18</x:v>
      </x:c>
    </x:row>
    <x:row r="21" ht="49" customHeight="1">
      <x:c r="A21" s="44" t="n">
        <x:v>10</x:v>
      </x:c>
      <x:c r="B21" s="44" t="str">
        <x:v>Volcano</x:v>
      </x:c>
      <x:c r="C21" s="44" t="str">
        <x:v>2H-Axt</x:v>
      </x:c>
      <x:c r="D21" s="44" t="str">
        <x:v>MM8</x:v>
      </x:c>
      <x:c r="E21" s="50" t="n">
        <x:f>ROUND(X21*Y21,0)</x:f>
        <x:v>891</x:v>
      </x:c>
      <x:c r="F21" s="51" t="n">
        <x:f>ROUND(($B$5+N21*$H$5+W21)/(1-(AH21/2+(AA21+AB21+AC21+AD21+AE21+AF21)/16+AG21/8)),0)</x:f>
        <x:v>3986</x:v>
      </x:c>
      <x:c r="G21" s="51" t="n">
        <x:f>F21-$B$8</x:f>
        <x:v>144</x:v>
      </x:c>
      <x:c r="H21" s="44" t="str">
        <x:v>Nein</x:v>
      </x:c>
      <x:c r="I21" s="44" t="str">
        <x:v>+100 Feuerresistenz vor Skalierung; bei Level 100 +125.</x:v>
      </x:c>
      <x:c r="J21" s="44" t="str">
        <x:v>Feuer-Zusatzschaden pro Treffer; besser bei Gegnern mit niedriger Feuerresistenz.</x:v>
      </x:c>
      <x:c r="K21" s="44" t="str">
        <x:v>—</x:v>
      </x:c>
      <x:c r="L21" s="44" t="str">
        <x:v>Elementarschaden nicht eingerechnet.</x:v>
      </x:c>
      <x:c r="M21" s="44" t="str">
        <x:v>https://github.com/Malekitsu/Maw-Mod-MMMerge/blob/4.5/Scripts/General/zzMaw-Items.lua</x:v>
      </x:c>
      <x:c r="N21" s="54" t="n">
        <x:v>0</x:v>
      </x:c>
      <x:c r="O21" s="54" t="n">
        <x:v>0</x:v>
      </x:c>
      <x:c r="P21" s="54" t="n">
        <x:v>125</x:v>
      </x:c>
      <x:c r="Q21" s="54" t="n">
        <x:v>0</x:v>
      </x:c>
      <x:c r="R21" s="54" t="n">
        <x:v>0</x:v>
      </x:c>
      <x:c r="S21" s="54" t="n">
        <x:v>0</x:v>
      </x:c>
      <x:c r="T21" s="54" t="n">
        <x:v>0</x:v>
      </x:c>
      <x:c r="U21" s="54" t="n">
        <x:v>0</x:v>
      </x:c>
      <x:c r="V21" s="54" t="n">
        <x:v>0</x:v>
      </x:c>
      <x:c r="W21" s="54" t="n">
        <x:v>0</x:v>
      </x:c>
      <x:c r="X21" s="44" t="n">
        <x:v>891</x:v>
      </x:c>
      <x:c r="Y21" s="44" t="n">
        <x:v>1</x:v>
      </x:c>
      <x:c r="Z21" s="44" t="n">
        <x:v>0</x:v>
      </x:c>
      <x:c r="AA21" s="56" t="n">
        <x:f>IF($F$5+P21&gt;=65000,1,1-1/(1+($F$5+P21)/(60+$J$5*0.5)))</x:f>
        <x:v>0.6140350877192982</x:v>
      </x:c>
      <x:c r="AB21" s="56" t="n">
        <x:f>IF($F$5+Q21&gt;=65000,1,1-1/(1+($F$5+Q21)/(60+$J$5*0.5)))</x:f>
        <x:v>0.3125</x:v>
      </x:c>
      <x:c r="AC21" s="56" t="n">
        <x:f>IF($F$5+R21&gt;=65000,1,1-1/(1+($F$5+R21)/(60+$J$5*0.5)))</x:f>
        <x:v>0.3125</x:v>
      </x:c>
      <x:c r="AD21" s="56" t="n">
        <x:f>IF($F$5+S21&gt;=65000,1,1-1/(1+($F$5+S21)/(60+$J$5*0.5)))</x:f>
        <x:v>0.3125</x:v>
      </x:c>
      <x:c r="AE21" s="56" t="n">
        <x:f>IF($F$5+T21&gt;=65000,1,1-1/(1+($F$5+T21)/(60+$J$5*0.5)))</x:f>
        <x:v>0.3125</x:v>
      </x:c>
      <x:c r="AF21" s="56" t="n">
        <x:f>IF($F$5+U21&gt;=65000,1,1-1/(1+($F$5+U21)/(60+$J$5*0.5)))</x:f>
        <x:v>0.3125</x:v>
      </x:c>
      <x:c r="AG21" s="56" t="n">
        <x:f>IF($F$5+V21&gt;=65000,1,1-1/(1+($F$5+V21)/(60+$J$5*0.5)))</x:f>
        <x:v>0.3125</x:v>
      </x:c>
      <x:c r="AH21" s="56" t="n">
        <x:f>1-((5+$J$5*2)/(10+$J$5*2+MAX(0,$D$5+O21)))*(1/(1+MAX(0,$D$5+O21)/(90+$J$5*0.25)))</x:f>
        <x:v>0.6462865716429107</x:v>
      </x:c>
      <x:c r="AI21" s="44" t="str">
        <x:v>Text + MAW-Stats</x:v>
      </x:c>
      <x:c r="AJ21" s="44" t="str">
        <x:v>10d8+25</x:v>
      </x:c>
    </x:row>
    <x:row r="22" ht="49" customHeight="1">
      <x:c r="A22" s="44" t="n">
        <x:v>11</x:v>
      </x:c>
      <x:c r="B22" s="44" t="str">
        <x:v>Terminus</x:v>
      </x:c>
      <x:c r="C22" s="44" t="str">
        <x:v>1H-Schwert</x:v>
      </x:c>
      <x:c r="D22" s="44" t="str">
        <x:v>MM8</x:v>
      </x:c>
      <x:c r="E22" s="50" t="n">
        <x:f>ROUND(X22*Y22,0)</x:f>
        <x:v>574</x:v>
      </x:c>
      <x:c r="F22" s="51" t="n">
        <x:f>ROUND(($B$5+N22*$H$5+W22)/(1-(AH22/2+(AA22+AB22+AC22+AD22+AE22+AF22)/16+AG22/8)),0)</x:f>
        <x:v>3986</x:v>
      </x:c>
      <x:c r="G22" s="51" t="n">
        <x:f>F22-$B$8</x:f>
        <x:v>144</x:v>
      </x:c>
      <x:c r="H22" s="44" t="str">
        <x:v>Nein</x:v>
      </x:c>
      <x:c r="I22" s="44" t="str">
        <x:v>+100 Luftresistenz vor Levelskalierung.</x:v>
      </x:c>
      <x:c r="J22" s="44" t="str">
        <x:v>+7 Armsmaster (MAW Level 100 +9), steigert physischen Schaden und Angriffstempo.</x:v>
      </x:c>
      <x:c r="K22" s="44" t="str">
        <x:v>—</x:v>
      </x:c>
      <x:c r="L22" s="44" t="str">
        <x:v>Armsmaster berücksichtigt.</x:v>
      </x:c>
      <x:c r="M22" s="44" t="str">
        <x:v>https://github.com/Malekitsu/Maw-Mod-MMMerge/blob/4.5/Scripts/General/zzMaw-Items.lua</x:v>
      </x:c>
      <x:c r="N22" s="54" t="n">
        <x:v>0</x:v>
      </x:c>
      <x:c r="O22" s="54" t="n">
        <x:v>0</x:v>
      </x:c>
      <x:c r="P22" s="54" t="n">
        <x:v>0</x:v>
      </x:c>
      <x:c r="Q22" s="54" t="n">
        <x:v>125</x:v>
      </x:c>
      <x:c r="R22" s="54" t="n">
        <x:v>0</x:v>
      </x:c>
      <x:c r="S22" s="54" t="n">
        <x:v>0</x:v>
      </x:c>
      <x:c r="T22" s="54" t="n">
        <x:v>0</x:v>
      </x:c>
      <x:c r="U22" s="54" t="n">
        <x:v>0</x:v>
      </x:c>
      <x:c r="V22" s="54" t="n">
        <x:v>0</x:v>
      </x:c>
      <x:c r="W22" s="54" t="n">
        <x:v>0</x:v>
      </x:c>
      <x:c r="X22" s="44" t="n">
        <x:v>574</x:v>
      </x:c>
      <x:c r="Y22" s="44" t="n">
        <x:v>1</x:v>
      </x:c>
      <x:c r="Z22" s="44" t="n">
        <x:v>0</x:v>
      </x:c>
      <x:c r="AA22" s="56" t="n">
        <x:f>IF($F$5+P22&gt;=65000,1,1-1/(1+($F$5+P22)/(60+$J$5*0.5)))</x:f>
        <x:v>0.3125</x:v>
      </x:c>
      <x:c r="AB22" s="56" t="n">
        <x:f>IF($F$5+Q22&gt;=65000,1,1-1/(1+($F$5+Q22)/(60+$J$5*0.5)))</x:f>
        <x:v>0.6140350877192982</x:v>
      </x:c>
      <x:c r="AC22" s="56" t="n">
        <x:f>IF($F$5+R22&gt;=65000,1,1-1/(1+($F$5+R22)/(60+$J$5*0.5)))</x:f>
        <x:v>0.3125</x:v>
      </x:c>
      <x:c r="AD22" s="56" t="n">
        <x:f>IF($F$5+S22&gt;=65000,1,1-1/(1+($F$5+S22)/(60+$J$5*0.5)))</x:f>
        <x:v>0.3125</x:v>
      </x:c>
      <x:c r="AE22" s="56" t="n">
        <x:f>IF($F$5+T22&gt;=65000,1,1-1/(1+($F$5+T22)/(60+$J$5*0.5)))</x:f>
        <x:v>0.3125</x:v>
      </x:c>
      <x:c r="AF22" s="56" t="n">
        <x:f>IF($F$5+U22&gt;=65000,1,1-1/(1+($F$5+U22)/(60+$J$5*0.5)))</x:f>
        <x:v>0.3125</x:v>
      </x:c>
      <x:c r="AG22" s="56" t="n">
        <x:f>IF($F$5+V22&gt;=65000,1,1-1/(1+($F$5+V22)/(60+$J$5*0.5)))</x:f>
        <x:v>0.3125</x:v>
      </x:c>
      <x:c r="AH22" s="56" t="n">
        <x:f>1-((5+$J$5*2)/(10+$J$5*2+MAX(0,$D$5+O22)))*(1/(1+MAX(0,$D$5+O22)/(90+$J$5*0.25)))</x:f>
        <x:v>0.6462865716429107</x:v>
      </x:c>
      <x:c r="AI22" s="44" t="str">
        <x:v>MAW-Stats</x:v>
      </x:c>
      <x:c r="AJ22" s="44" t="str">
        <x:v>8d4+20</x:v>
      </x:c>
    </x:row>
    <x:row r="23" ht="49" customHeight="1">
      <x:c r="A23" s="44" t="n">
        <x:v>12</x:v>
      </x:c>
      <x:c r="B23" s="44" t="str">
        <x:v>Ares</x:v>
      </x:c>
      <x:c r="C23" s="44" t="str">
        <x:v>Mace</x:v>
      </x:c>
      <x:c r="D23" s="44" t="str">
        <x:v>MM6</x:v>
      </x:c>
      <x:c r="E23" s="50" t="n">
        <x:f>ROUND(X23*Y23,0)</x:f>
        <x:v>303</x:v>
      </x:c>
      <x:c r="F23" s="51" t="n">
        <x:f>ROUND(($B$5+N23*$H$5+W23)/(1-(AH23/2+(AA23+AB23+AC23+AD23+AE23+AF23)/16+AG23/8)),0)</x:f>
        <x:v>3986</x:v>
      </x:c>
      <x:c r="G23" s="51" t="n">
        <x:f>F23-$B$8</x:f>
        <x:v>144</x:v>
      </x:c>
      <x:c r="H23" s="44" t="str">
        <x:v>Nein</x:v>
      </x:c>
      <x:c r="I23" s="44" t="str">
        <x:v>+100 Feuerresistenz vor Skalierung.</x:v>
      </x:c>
      <x:c r="J23" s="44" t="str">
        <x:v>Geskripteter Feuerschaden (+30 Basis je Treffer).</x:v>
      </x:c>
      <x:c r="K23" s="44" t="str">
        <x:v>—</x:v>
      </x:c>
      <x:c r="L23" s="44" t="str">
        <x:v>Feuerschaden nicht in phys. DPS.</x:v>
      </x:c>
      <x:c r="M23" s="44" t="str">
        <x:v>https://github.com/Malekitsu/Maw-Mod-MMMerge/blob/4.5/Scripts/Global/ExtraArtifacts.lua</x:v>
      </x:c>
      <x:c r="N23" s="54" t="n">
        <x:v>0</x:v>
      </x:c>
      <x:c r="O23" s="54" t="n">
        <x:v>0</x:v>
      </x:c>
      <x:c r="P23" s="54" t="n">
        <x:v>125</x:v>
      </x:c>
      <x:c r="Q23" s="54" t="n">
        <x:v>0</x:v>
      </x:c>
      <x:c r="R23" s="54" t="n">
        <x:v>0</x:v>
      </x:c>
      <x:c r="S23" s="54" t="n">
        <x:v>0</x:v>
      </x:c>
      <x:c r="T23" s="54" t="n">
        <x:v>0</x:v>
      </x:c>
      <x:c r="U23" s="54" t="n">
        <x:v>0</x:v>
      </x:c>
      <x:c r="V23" s="54" t="n">
        <x:v>0</x:v>
      </x:c>
      <x:c r="W23" s="54" t="n">
        <x:v>0</x:v>
      </x:c>
      <x:c r="X23" s="44" t="n">
        <x:v>303</x:v>
      </x:c>
      <x:c r="Y23" s="44" t="n">
        <x:v>1</x:v>
      </x:c>
      <x:c r="Z23" s="44" t="n">
        <x:v>0</x:v>
      </x:c>
      <x:c r="AA23" s="56" t="n">
        <x:f>IF($F$5+P23&gt;=65000,1,1-1/(1+($F$5+P23)/(60+$J$5*0.5)))</x:f>
        <x:v>0.6140350877192982</x:v>
      </x:c>
      <x:c r="AB23" s="56" t="n">
        <x:f>IF($F$5+Q23&gt;=65000,1,1-1/(1+($F$5+Q23)/(60+$J$5*0.5)))</x:f>
        <x:v>0.3125</x:v>
      </x:c>
      <x:c r="AC23" s="56" t="n">
        <x:f>IF($F$5+R23&gt;=65000,1,1-1/(1+($F$5+R23)/(60+$J$5*0.5)))</x:f>
        <x:v>0.3125</x:v>
      </x:c>
      <x:c r="AD23" s="56" t="n">
        <x:f>IF($F$5+S23&gt;=65000,1,1-1/(1+($F$5+S23)/(60+$J$5*0.5)))</x:f>
        <x:v>0.3125</x:v>
      </x:c>
      <x:c r="AE23" s="56" t="n">
        <x:f>IF($F$5+T23&gt;=65000,1,1-1/(1+($F$5+T23)/(60+$J$5*0.5)))</x:f>
        <x:v>0.3125</x:v>
      </x:c>
      <x:c r="AF23" s="56" t="n">
        <x:f>IF($F$5+U23&gt;=65000,1,1-1/(1+($F$5+U23)/(60+$J$5*0.5)))</x:f>
        <x:v>0.3125</x:v>
      </x:c>
      <x:c r="AG23" s="56" t="n">
        <x:f>IF($F$5+V23&gt;=65000,1,1-1/(1+($F$5+V23)/(60+$J$5*0.5)))</x:f>
        <x:v>0.3125</x:v>
      </x:c>
      <x:c r="AH23" s="56" t="n">
        <x:f>1-((5+$J$5*2)/(10+$J$5*2+MAX(0,$D$5+O23)))*(1/(1+MAX(0,$D$5+O23)/(90+$J$5*0.25)))</x:f>
        <x:v>0.6462865716429107</x:v>
      </x:c>
      <x:c r="AI23" s="44" t="str">
        <x:v>Skript + MAW-Stats</x:v>
      </x:c>
      <x:c r="AJ23" s="44" t="str">
        <x:v>8d4+16</x:v>
      </x:c>
    </x:row>
    <x:row r="24" ht="49" customHeight="1">
      <x:c r="A24" s="44" t="n">
        <x:v>13</x:v>
      </x:c>
      <x:c r="B24" s="44" t="str">
        <x:v>Trident of Rulership</x:v>
      </x:c>
      <x:c r="C24" s="44" t="str">
        <x:v>Speer</x:v>
      </x:c>
      <x:c r="D24" s="44" t="str">
        <x:v>MM8</x:v>
      </x:c>
      <x:c r="E24" s="50" t="n">
        <x:f>ROUND(X24*Y24,0)</x:f>
        <x:v>272</x:v>
      </x:c>
      <x:c r="F24" s="51" t="n">
        <x:f>ROUND(($B$5+N24*$H$5+W24)/(1-(AH24/2+(AA24+AB24+AC24+AD24+AE24+AF24)/16+AG24/8)),0)</x:f>
        <x:v>3863</x:v>
      </x:c>
      <x:c r="G24" s="51" t="n">
        <x:f>F24-$B$8</x:f>
        <x:v>21</x:v>
      </x:c>
      <x:c r="H24" s="44" t="str">
        <x:v>Nein</x:v>
      </x:c>
      <x:c r="I24" s="44" t="str">
        <x:v>+140 Wasserresistenz, −40 Feuerresistenz vor Skalierung.</x:v>
      </x:c>
      <x:c r="J24" s="44" t="str">
        <x:v>Water Breathing; offensiver Grundschaden ohne Zusatzproc.</x:v>
      </x:c>
      <x:c r="K24" s="44" t="str">
        <x:v>1H/2H-fähig.</x:v>
      </x:c>
      <x:c r="L24" s="44" t="str">
        <x:v>Kein zusätzlicher DPS-Proc.</x:v>
      </x:c>
      <x:c r="M24" s="44" t="str">
        <x:v>https://github.com/Malekitsu/Maw-Mod-MMMerge/blob/4.5/Scripts/General/zzMaw-Items.lua</x:v>
      </x:c>
      <x:c r="N24" s="54" t="n">
        <x:v>0</x:v>
      </x:c>
      <x:c r="O24" s="54" t="n">
        <x:v>0</x:v>
      </x:c>
      <x:c r="P24" s="54" t="n">
        <x:v>-50</x:v>
      </x:c>
      <x:c r="Q24" s="54" t="n">
        <x:v>0</x:v>
      </x:c>
      <x:c r="R24" s="54" t="n">
        <x:v>175</x:v>
      </x:c>
      <x:c r="S24" s="54" t="n">
        <x:v>0</x:v>
      </x:c>
      <x:c r="T24" s="54" t="n">
        <x:v>0</x:v>
      </x:c>
      <x:c r="U24" s="54" t="n">
        <x:v>0</x:v>
      </x:c>
      <x:c r="V24" s="54" t="n">
        <x:v>0</x:v>
      </x:c>
      <x:c r="W24" s="54" t="n">
        <x:v>0</x:v>
      </x:c>
      <x:c r="X24" s="44" t="n">
        <x:v>272</x:v>
      </x:c>
      <x:c r="Y24" s="44" t="n">
        <x:v>1</x:v>
      </x:c>
      <x:c r="Z24" s="44" t="n">
        <x:v>0</x:v>
      </x:c>
      <x:c r="AA24" s="56" t="n">
        <x:f>IF($F$5+P24&gt;=65000,1,1-1/(1+($F$5+P24)/(60+$J$5*0.5)))</x:f>
        <x:v>0</x:v>
      </x:c>
      <x:c r="AB24" s="56" t="n">
        <x:f>IF($F$5+Q24&gt;=65000,1,1-1/(1+($F$5+Q24)/(60+$J$5*0.5)))</x:f>
        <x:v>0.3125</x:v>
      </x:c>
      <x:c r="AC24" s="56" t="n">
        <x:f>IF($F$5+R24&gt;=65000,1,1-1/(1+($F$5+R24)/(60+$J$5*0.5)))</x:f>
        <x:v>0.6716417910447761</x:v>
      </x:c>
      <x:c r="AD24" s="56" t="n">
        <x:f>IF($F$5+S24&gt;=65000,1,1-1/(1+($F$5+S24)/(60+$J$5*0.5)))</x:f>
        <x:v>0.3125</x:v>
      </x:c>
      <x:c r="AE24" s="56" t="n">
        <x:f>IF($F$5+T24&gt;=65000,1,1-1/(1+($F$5+T24)/(60+$J$5*0.5)))</x:f>
        <x:v>0.3125</x:v>
      </x:c>
      <x:c r="AF24" s="56" t="n">
        <x:f>IF($F$5+U24&gt;=65000,1,1-1/(1+($F$5+U24)/(60+$J$5*0.5)))</x:f>
        <x:v>0.3125</x:v>
      </x:c>
      <x:c r="AG24" s="56" t="n">
        <x:f>IF($F$5+V24&gt;=65000,1,1-1/(1+($F$5+V24)/(60+$J$5*0.5)))</x:f>
        <x:v>0.3125</x:v>
      </x:c>
      <x:c r="AH24" s="56" t="n">
        <x:f>1-((5+$J$5*2)/(10+$J$5*2+MAX(0,$D$5+O24)))*(1/(1+MAX(0,$D$5+O24)/(90+$J$5*0.25)))</x:f>
        <x:v>0.6462865716429107</x:v>
      </x:c>
      <x:c r="AI24" s="44" t="str">
        <x:v>MAW-Stats</x:v>
      </x:c>
      <x:c r="AJ24" s="44" t="str">
        <x:v>6d6+16</x:v>
      </x:c>
    </x:row>
    <x:row r="25" ht="49" customHeight="1">
      <x:c r="A25" s="44" t="n">
        <x:v>14</x:v>
      </x:c>
      <x:c r="B25" s="44" t="str">
        <x:v>Scepter of Kings</x:v>
      </x:c>
      <x:c r="C25" s="44" t="str">
        <x:v>Mace</x:v>
      </x:c>
      <x:c r="D25" s="44" t="str">
        <x:v>MM8</x:v>
      </x:c>
      <x:c r="E25" s="50" t="n">
        <x:f>ROUND(X25*Y25,0)</x:f>
        <x:v>303</x:v>
      </x:c>
      <x:c r="F25" s="51" t="n">
        <x:f>ROUND(($B$5+N25*$H$5+W25)/(1-(AH25/2+(AA25+AB25+AC25+AD25+AE25+AF25)/16+AG25/8)),0)</x:f>
        <x:v>3842</x:v>
      </x:c>
      <x:c r="G25" s="51" t="n">
        <x:f>F25-$B$8</x:f>
        <x:v>0</x:v>
      </x:c>
      <x:c r="H25" s="44" t="str">
        <x:v>Nein</x:v>
      </x:c>
      <x:c r="I25" s="44" t="str">
        <x:v>+80 Personality vor Skalierung; HP-Regeneration ist nicht Teil des Vitality-Werts.</x:v>
      </x:c>
      <x:c r="J25" s="44" t="str">
        <x:v>Kein zusätzlicher Trefferproc; HP-Regeneration während des Tragens.</x:v>
      </x:c>
      <x:c r="K25" s="44" t="str">
        <x:v>—</x:v>
      </x:c>
      <x:c r="L25" s="44" t="str">
        <x:v>Heilung/Regeneration nicht in DPS.</x:v>
      </x:c>
      <x:c r="M25" s="44" t="str">
        <x:v>https://github.com/Malekitsu/Maw-Mod-MMMerge/blob/4.5/Scripts/General/zzMaw-Items.lua</x:v>
      </x:c>
      <x:c r="N25" s="54" t="n">
        <x:v>0</x:v>
      </x:c>
      <x:c r="O25" s="54" t="n">
        <x:v>0</x:v>
      </x:c>
      <x:c r="P25" s="54" t="n">
        <x:v>0</x:v>
      </x:c>
      <x:c r="Q25" s="54" t="n">
        <x:v>0</x:v>
      </x:c>
      <x:c r="R25" s="54" t="n">
        <x:v>0</x:v>
      </x:c>
      <x:c r="S25" s="54" t="n">
        <x:v>0</x:v>
      </x:c>
      <x:c r="T25" s="54" t="n">
        <x:v>0</x:v>
      </x:c>
      <x:c r="U25" s="54" t="n">
        <x:v>0</x:v>
      </x:c>
      <x:c r="V25" s="54" t="n">
        <x:v>0</x:v>
      </x:c>
      <x:c r="W25" s="54" t="n">
        <x:v>0</x:v>
      </x:c>
      <x:c r="X25" s="44" t="n">
        <x:v>303</x:v>
      </x:c>
      <x:c r="Y25" s="44" t="n">
        <x:v>1</x:v>
      </x:c>
      <x:c r="Z25" s="44" t="n">
        <x:v>3</x:v>
      </x:c>
      <x:c r="AA25" s="56" t="n">
        <x:f>IF($F$5+P25&gt;=65000,1,1-1/(1+($F$5+P25)/(60+$J$5*0.5)))</x:f>
        <x:v>0.3125</x:v>
      </x:c>
      <x:c r="AB25" s="56" t="n">
        <x:f>IF($F$5+Q25&gt;=65000,1,1-1/(1+($F$5+Q25)/(60+$J$5*0.5)))</x:f>
        <x:v>0.3125</x:v>
      </x:c>
      <x:c r="AC25" s="56" t="n">
        <x:f>IF($F$5+R25&gt;=65000,1,1-1/(1+($F$5+R25)/(60+$J$5*0.5)))</x:f>
        <x:v>0.3125</x:v>
      </x:c>
      <x:c r="AD25" s="56" t="n">
        <x:f>IF($F$5+S25&gt;=65000,1,1-1/(1+($F$5+S25)/(60+$J$5*0.5)))</x:f>
        <x:v>0.3125</x:v>
      </x:c>
      <x:c r="AE25" s="56" t="n">
        <x:f>IF($F$5+T25&gt;=65000,1,1-1/(1+($F$5+T25)/(60+$J$5*0.5)))</x:f>
        <x:v>0.3125</x:v>
      </x:c>
      <x:c r="AF25" s="56" t="n">
        <x:f>IF($F$5+U25&gt;=65000,1,1-1/(1+($F$5+U25)/(60+$J$5*0.5)))</x:f>
        <x:v>0.3125</x:v>
      </x:c>
      <x:c r="AG25" s="56" t="n">
        <x:f>IF($F$5+V25&gt;=65000,1,1-1/(1+($F$5+V25)/(60+$J$5*0.5)))</x:f>
        <x:v>0.3125</x:v>
      </x:c>
      <x:c r="AH25" s="56" t="n">
        <x:f>1-((5+$J$5*2)/(10+$J$5*2+MAX(0,$D$5+O25)))*(1/(1+MAX(0,$D$5+O25)/(90+$J$5*0.25)))</x:f>
        <x:v>0.6462865716429107</x:v>
      </x:c>
      <x:c r="AI25" s="44" t="str">
        <x:v>Skript + MAW-Stats</x:v>
      </x:c>
      <x:c r="AJ25" s="44" t="str">
        <x:v>8d4+16</x:v>
      </x:c>
    </x:row>
    <x:row r="26" ht="49" customHeight="1">
      <x:c r="A26" s="44" t="n">
        <x:v>15</x:v>
      </x:c>
      <x:c r="B26" s="44" t="str">
        <x:v>Mordred</x:v>
      </x:c>
      <x:c r="C26" s="44" t="str">
        <x:v>Dolch</x:v>
      </x:c>
      <x:c r="D26" s="44" t="str">
        <x:v>MM6</x:v>
      </x:c>
      <x:c r="E26" s="50" t="n">
        <x:f>ROUND(X26*Y26,0)</x:f>
        <x:v>490</x:v>
      </x:c>
      <x:c r="F26" s="51" t="n">
        <x:f>ROUND(($B$5+N26*$H$5+W26)/(1-(AH26/2+(AA26+AB26+AC26+AD26+AE26+AF26)/16+AG26/8)),0)</x:f>
        <x:v>3842</x:v>
      </x:c>
      <x:c r="G26" s="51" t="n">
        <x:f>F26-$B$8</x:f>
        <x:v>0</x:v>
      </x:c>
      <x:c r="H26" s="44" t="str">
        <x:v>Ja: geskriptet</x:v>
      </x:c>
      <x:c r="I26" s="44" t="str">
        <x:v>Potenzielle Selbstheilung; genaue Heilrate ohne konkreten Kampf nicht bestimmbar.</x:v>
      </x:c>
      <x:c r="J26" s="44" t="str">
        <x:v>Vampiric in ExtraArtifacts explizit als On-Hit-Effekt aktiviert.</x:v>
      </x:c>
      <x:c r="K26" s="44" t="str">
        <x:v>—</x:v>
      </x:c>
      <x:c r="L26" s="44" t="str">
        <x:v>Lifeleech nicht in Vitality/DPS.</x:v>
      </x:c>
      <x:c r="M26" s="44" t="str">
        <x:v>https://github.com/Malekitsu/Maw-Mod-MMMerge/blob/4.5/Scripts/Global/ExtraArtifacts.lua</x:v>
      </x:c>
      <x:c r="N26" s="54" t="n">
        <x:v>0</x:v>
      </x:c>
      <x:c r="O26" s="54" t="n">
        <x:v>0</x:v>
      </x:c>
      <x:c r="P26" s="54" t="n">
        <x:v>0</x:v>
      </x:c>
      <x:c r="Q26" s="54" t="n">
        <x:v>0</x:v>
      </x:c>
      <x:c r="R26" s="54" t="n">
        <x:v>0</x:v>
      </x:c>
      <x:c r="S26" s="54" t="n">
        <x:v>0</x:v>
      </x:c>
      <x:c r="T26" s="54" t="n">
        <x:v>0</x:v>
      </x:c>
      <x:c r="U26" s="54" t="n">
        <x:v>0</x:v>
      </x:c>
      <x:c r="V26" s="54" t="n">
        <x:v>0</x:v>
      </x:c>
      <x:c r="W26" s="54" t="n">
        <x:v>0</x:v>
      </x:c>
      <x:c r="X26" s="44" t="n">
        <x:v>490</x:v>
      </x:c>
      <x:c r="Y26" s="44" t="n">
        <x:v>1</x:v>
      </x:c>
      <x:c r="Z26" s="44" t="n">
        <x:v>0</x:v>
      </x:c>
      <x:c r="AA26" s="56" t="n">
        <x:f>IF($F$5+P26&gt;=65000,1,1-1/(1+($F$5+P26)/(60+$J$5*0.5)))</x:f>
        <x:v>0.3125</x:v>
      </x:c>
      <x:c r="AB26" s="56" t="n">
        <x:f>IF($F$5+Q26&gt;=65000,1,1-1/(1+($F$5+Q26)/(60+$J$5*0.5)))</x:f>
        <x:v>0.3125</x:v>
      </x:c>
      <x:c r="AC26" s="56" t="n">
        <x:f>IF($F$5+R26&gt;=65000,1,1-1/(1+($F$5+R26)/(60+$J$5*0.5)))</x:f>
        <x:v>0.3125</x:v>
      </x:c>
      <x:c r="AD26" s="56" t="n">
        <x:f>IF($F$5+S26&gt;=65000,1,1-1/(1+($F$5+S26)/(60+$J$5*0.5)))</x:f>
        <x:v>0.3125</x:v>
      </x:c>
      <x:c r="AE26" s="56" t="n">
        <x:f>IF($F$5+T26&gt;=65000,1,1-1/(1+($F$5+T26)/(60+$J$5*0.5)))</x:f>
        <x:v>0.3125</x:v>
      </x:c>
      <x:c r="AF26" s="56" t="n">
        <x:f>IF($F$5+U26&gt;=65000,1,1-1/(1+($F$5+U26)/(60+$J$5*0.5)))</x:f>
        <x:v>0.3125</x:v>
      </x:c>
      <x:c r="AG26" s="56" t="n">
        <x:f>IF($F$5+V26&gt;=65000,1,1-1/(1+($F$5+V26)/(60+$J$5*0.5)))</x:f>
        <x:v>0.3125</x:v>
      </x:c>
      <x:c r="AH26" s="56" t="n">
        <x:f>1-((5+$J$5*2)/(10+$J$5*2+MAX(0,$D$5+O26)))*(1/(1+MAX(0,$D$5+O26)/(90+$J$5*0.25)))</x:f>
        <x:v>0.6462865716429107</x:v>
      </x:c>
      <x:c r="AI26" s="44" t="str">
        <x:v>Skript</x:v>
      </x:c>
      <x:c r="AJ26" s="44" t="str">
        <x:v>8d5+20</x:v>
      </x:c>
    </x:row>
    <x:row r="27" ht="49" customHeight="1">
      <x:c r="A27" s="44" t="n">
        <x:v>16</x:v>
      </x:c>
      <x:c r="B27" s="44" t="str">
        <x:v>Foulfang</x:v>
      </x:c>
      <x:c r="C27" s="44" t="str">
        <x:v>Dolch</x:v>
      </x:c>
      <x:c r="D27" s="44" t="str">
        <x:v>MM8</x:v>
      </x:c>
      <x:c r="E27" s="50" t="n">
        <x:f>ROUND(X27*Y27,0)</x:f>
        <x:v>429</x:v>
      </x:c>
      <x:c r="F27" s="51" t="n">
        <x:f>ROUND(($B$5+N27*$H$5+W27)/(1-(AH27/2+(AA27+AB27+AC27+AD27+AE27+AF27)/16+AG27/8)),0)</x:f>
        <x:v>3842</x:v>
      </x:c>
      <x:c r="G27" s="51" t="n">
        <x:f>F27-$B$8</x:f>
        <x:v>0</x:v>
      </x:c>
      <x:c r="H27" s="44" t="str">
        <x:v>Ja: Gegenstandstext</x:v>
      </x:c>
      <x:c r="I27" s="44" t="str">
        <x:v>Potenzielle Selbstheilung, nicht in der Stats-Menü-Vitality.</x:v>
      </x:c>
      <x:c r="J27" s="44" t="str">
        <x:v>Vampiric und Giftschaden laut Itemtext.</x:v>
      </x:c>
      <x:c r="K27" s="44" t="str">
        <x:v>Nur Vampire (ExtraArtifacts).</x:v>
      </x:c>
      <x:c r="L27" s="44" t="str">
        <x:v>Gift und Lifesteal nicht in DPS.</x:v>
      </x:c>
      <x:c r="M27" s="44" t="str">
        <x:v>https://github.com/Malekitsu/Maw-Mod-MMMerge/blob/4.5/Scripts/Global/ExtraArtifacts.lua</x:v>
      </x:c>
      <x:c r="N27" s="54" t="n">
        <x:v>0</x:v>
      </x:c>
      <x:c r="O27" s="54" t="n">
        <x:v>0</x:v>
      </x:c>
      <x:c r="P27" s="54" t="n">
        <x:v>0</x:v>
      </x:c>
      <x:c r="Q27" s="54" t="n">
        <x:v>0</x:v>
      </x:c>
      <x:c r="R27" s="54" t="n">
        <x:v>0</x:v>
      </x:c>
      <x:c r="S27" s="54" t="n">
        <x:v>0</x:v>
      </x:c>
      <x:c r="T27" s="54" t="n">
        <x:v>0</x:v>
      </x:c>
      <x:c r="U27" s="54" t="n">
        <x:v>0</x:v>
      </x:c>
      <x:c r="V27" s="54" t="n">
        <x:v>0</x:v>
      </x:c>
      <x:c r="W27" s="54" t="n">
        <x:v>0</x:v>
      </x:c>
      <x:c r="X27" s="44" t="n">
        <x:v>429</x:v>
      </x:c>
      <x:c r="Y27" s="44" t="n">
        <x:v>1</x:v>
      </x:c>
      <x:c r="Z27" s="44" t="n">
        <x:v>0</x:v>
      </x:c>
      <x:c r="AA27" s="56" t="n">
        <x:f>IF($F$5+P27&gt;=65000,1,1-1/(1+($F$5+P27)/(60+$J$5*0.5)))</x:f>
        <x:v>0.3125</x:v>
      </x:c>
      <x:c r="AB27" s="56" t="n">
        <x:f>IF($F$5+Q27&gt;=65000,1,1-1/(1+($F$5+Q27)/(60+$J$5*0.5)))</x:f>
        <x:v>0.3125</x:v>
      </x:c>
      <x:c r="AC27" s="56" t="n">
        <x:f>IF($F$5+R27&gt;=65000,1,1-1/(1+($F$5+R27)/(60+$J$5*0.5)))</x:f>
        <x:v>0.3125</x:v>
      </x:c>
      <x:c r="AD27" s="56" t="n">
        <x:f>IF($F$5+S27&gt;=65000,1,1-1/(1+($F$5+S27)/(60+$J$5*0.5)))</x:f>
        <x:v>0.3125</x:v>
      </x:c>
      <x:c r="AE27" s="56" t="n">
        <x:f>IF($F$5+T27&gt;=65000,1,1-1/(1+($F$5+T27)/(60+$J$5*0.5)))</x:f>
        <x:v>0.3125</x:v>
      </x:c>
      <x:c r="AF27" s="56" t="n">
        <x:f>IF($F$5+U27&gt;=65000,1,1-1/(1+($F$5+U27)/(60+$J$5*0.5)))</x:f>
        <x:v>0.3125</x:v>
      </x:c>
      <x:c r="AG27" s="56" t="n">
        <x:f>IF($F$5+V27&gt;=65000,1,1-1/(1+($F$5+V27)/(60+$J$5*0.5)))</x:f>
        <x:v>0.3125</x:v>
      </x:c>
      <x:c r="AH27" s="56" t="n">
        <x:f>1-((5+$J$5*2)/(10+$J$5*2+MAX(0,$D$5+O27)))*(1/(1+MAX(0,$D$5+O27)/(90+$J$5*0.25)))</x:f>
        <x:v>0.6462865716429107</x:v>
      </x:c>
      <x:c r="AI27" s="44" t="str">
        <x:v>Itemtext; Script-Verbindung offen</x:v>
      </x:c>
      <x:c r="AJ27" s="44" t="str">
        <x:v>12d3+12</x:v>
      </x:c>
    </x:row>
    <x:row r="28" ht="49" customHeight="1">
      <x:c r="A28" s="44" t="n">
        <x:v>17</x:v>
      </x:c>
      <x:c r="B28" s="44" t="str">
        <x:v>Spiritslayer</x:v>
      </x:c>
      <x:c r="C28" s="44" t="str">
        <x:v>Speer</x:v>
      </x:c>
      <x:c r="D28" s="44" t="str">
        <x:v>MM8</x:v>
      </x:c>
      <x:c r="E28" s="50" t="n">
        <x:f>ROUND(X28*Y28,0)</x:f>
        <x:v>309</x:v>
      </x:c>
      <x:c r="F28" s="51" t="n">
        <x:f>ROUND(($B$5+N28*$H$5+W28)/(1-(AH28/2+(AA28+AB28+AC28+AD28+AE28+AF28)/16+AG28/8)),0)</x:f>
        <x:v>3842</x:v>
      </x:c>
      <x:c r="G28" s="51" t="n">
        <x:f>F28-$B$8</x:f>
        <x:v>0</x:v>
      </x:c>
      <x:c r="H28" s="44" t="str">
        <x:v>Ja: Gegenstandstext</x:v>
      </x:c>
      <x:c r="I28" s="44" t="str">
        <x:v>+80 Might, −40 Luck vor Skalierung; Lebensraub separat.</x:v>
      </x:c>
      <x:c r="J28" s="44" t="str">
        <x:v>Vampiric laut Itemtext: heilt potenziell beim Treffer; Umsetzung im MAW-Leech-Code nicht vollständig nachgewiesen.</x:v>
      </x:c>
      <x:c r="K28" s="44" t="str">
        <x:v>1H/2H-fähig.</x:v>
      </x:c>
      <x:c r="L28" s="44" t="str">
        <x:v>Lifesteal nicht in Vitality oder DPS.</x:v>
      </x:c>
      <x:c r="M28" s="44" t="str">
        <x:v>https://github.com/Malekitsu/Maw-Mod-MMMerge/blob/4.5/Scripts/Global/ExtraArtifacts.lua</x:v>
      </x:c>
      <x:c r="N28" s="54" t="n">
        <x:v>0</x:v>
      </x:c>
      <x:c r="O28" s="54" t="n">
        <x:v>0</x:v>
      </x:c>
      <x:c r="P28" s="54" t="n">
        <x:v>0</x:v>
      </x:c>
      <x:c r="Q28" s="54" t="n">
        <x:v>0</x:v>
      </x:c>
      <x:c r="R28" s="54" t="n">
        <x:v>0</x:v>
      </x:c>
      <x:c r="S28" s="54" t="n">
        <x:v>0</x:v>
      </x:c>
      <x:c r="T28" s="54" t="n">
        <x:v>0</x:v>
      </x:c>
      <x:c r="U28" s="54" t="n">
        <x:v>0</x:v>
      </x:c>
      <x:c r="V28" s="54" t="n">
        <x:v>0</x:v>
      </x:c>
      <x:c r="W28" s="54" t="n">
        <x:v>0</x:v>
      </x:c>
      <x:c r="X28" s="44" t="n">
        <x:v>309</x:v>
      </x:c>
      <x:c r="Y28" s="44" t="n">
        <x:v>1</x:v>
      </x:c>
      <x:c r="Z28" s="44" t="n">
        <x:v>0</x:v>
      </x:c>
      <x:c r="AA28" s="56" t="n">
        <x:f>IF($F$5+P28&gt;=65000,1,1-1/(1+($F$5+P28)/(60+$J$5*0.5)))</x:f>
        <x:v>0.3125</x:v>
      </x:c>
      <x:c r="AB28" s="56" t="n">
        <x:f>IF($F$5+Q28&gt;=65000,1,1-1/(1+($F$5+Q28)/(60+$J$5*0.5)))</x:f>
        <x:v>0.3125</x:v>
      </x:c>
      <x:c r="AC28" s="56" t="n">
        <x:f>IF($F$5+R28&gt;=65000,1,1-1/(1+($F$5+R28)/(60+$J$5*0.5)))</x:f>
        <x:v>0.3125</x:v>
      </x:c>
      <x:c r="AD28" s="56" t="n">
        <x:f>IF($F$5+S28&gt;=65000,1,1-1/(1+($F$5+S28)/(60+$J$5*0.5)))</x:f>
        <x:v>0.3125</x:v>
      </x:c>
      <x:c r="AE28" s="56" t="n">
        <x:f>IF($F$5+T28&gt;=65000,1,1-1/(1+($F$5+T28)/(60+$J$5*0.5)))</x:f>
        <x:v>0.3125</x:v>
      </x:c>
      <x:c r="AF28" s="56" t="n">
        <x:f>IF($F$5+U28&gt;=65000,1,1-1/(1+($F$5+U28)/(60+$J$5*0.5)))</x:f>
        <x:v>0.3125</x:v>
      </x:c>
      <x:c r="AG28" s="56" t="n">
        <x:f>IF($F$5+V28&gt;=65000,1,1-1/(1+($F$5+V28)/(60+$J$5*0.5)))</x:f>
        <x:v>0.3125</x:v>
      </x:c>
      <x:c r="AH28" s="56" t="n">
        <x:f>1-((5+$J$5*2)/(10+$J$5*2+MAX(0,$D$5+O28)))*(1/(1+MAX(0,$D$5+O28)/(90+$J$5*0.25)))</x:f>
        <x:v>0.6462865716429107</x:v>
      </x:c>
      <x:c r="AI28" s="44" t="str">
        <x:v>Itemtext, Lifeleech ungeprüft</x:v>
      </x:c>
      <x:c r="AJ28" s="44" t="str">
        <x:v>5d9+16</x:v>
      </x:c>
    </x:row>
    <x:row r="29" ht="49" customHeight="1">
      <x:c r="A29" s="44" t="n">
        <x:v>18</x:v>
      </x:c>
      <x:c r="B29" s="44" t="str">
        <x:v>Conan</x:v>
      </x:c>
      <x:c r="C29" s="44" t="str">
        <x:v>2H-Axt</x:v>
      </x:c>
      <x:c r="D29" s="44" t="str">
        <x:v>MM6</x:v>
      </x:c>
      <x:c r="E29" s="50" t="n">
        <x:f>ROUND(X29*Y29,0)</x:f>
        <x:v>1016</x:v>
      </x:c>
      <x:c r="F29" s="51" t="n">
        <x:f>ROUND(($B$5+N29*$H$5+W29)/(1-(AH29/2+(AA29+AB29+AC29+AD29+AE29+AF29)/16+AG29/8)),0)</x:f>
        <x:v>3842</x:v>
      </x:c>
      <x:c r="G29" s="51" t="n">
        <x:f>F29-$B$8</x:f>
        <x:v>0</x:v>
      </x:c>
      <x:c r="H29" s="44" t="str">
        <x:v>Nein</x:v>
      </x:c>
      <x:c r="I29" s="44" t="str">
        <x:v>+150 Accuracy (MAW, auf Level 100: +187,5); verbessert Treffer und Kritschaden.</x:v>
      </x:c>
      <x:c r="J29" s="44" t="str">
        <x:v>Verdoppelt Treffer gegen Drachen und Dämonen; geskripteter zusätzlicher Treffer-Schaden von 10, skaliert mit Level.</x:v>
      </x:c>
      <x:c r="K29" s="44" t="str">
        <x:v>—</x:v>
      </x:c>
      <x:c r="L29" s="44" t="str">
        <x:v>Slayer ×2 und geskripteter Zusatzschaden nicht im phys. DPS enthalten.</x:v>
      </x:c>
      <x:c r="M29" s="44" t="str">
        <x:v>https://github.com/Malekitsu/Maw-Mod-MMMerge/blob/4.5/Scripts/Global/ExtraArtifacts.lua</x:v>
      </x:c>
      <x:c r="N29" s="54" t="n">
        <x:v>0</x:v>
      </x:c>
      <x:c r="O29" s="54" t="n">
        <x:v>0</x:v>
      </x:c>
      <x:c r="P29" s="54" t="n">
        <x:v>0</x:v>
      </x:c>
      <x:c r="Q29" s="54" t="n">
        <x:v>0</x:v>
      </x:c>
      <x:c r="R29" s="54" t="n">
        <x:v>0</x:v>
      </x:c>
      <x:c r="S29" s="54" t="n">
        <x:v>0</x:v>
      </x:c>
      <x:c r="T29" s="54" t="n">
        <x:v>0</x:v>
      </x:c>
      <x:c r="U29" s="54" t="n">
        <x:v>0</x:v>
      </x:c>
      <x:c r="V29" s="54" t="n">
        <x:v>0</x:v>
      </x:c>
      <x:c r="W29" s="54" t="n">
        <x:v>0</x:v>
      </x:c>
      <x:c r="X29" s="44" t="n">
        <x:v>1016</x:v>
      </x:c>
      <x:c r="Y29" s="44" t="n">
        <x:v>1</x:v>
      </x:c>
      <x:c r="Z29" s="44" t="n">
        <x:v>0</x:v>
      </x:c>
      <x:c r="AA29" s="56" t="n">
        <x:f>IF($F$5+P29&gt;=65000,1,1-1/(1+($F$5+P29)/(60+$J$5*0.5)))</x:f>
        <x:v>0.3125</x:v>
      </x:c>
      <x:c r="AB29" s="56" t="n">
        <x:f>IF($F$5+Q29&gt;=65000,1,1-1/(1+($F$5+Q29)/(60+$J$5*0.5)))</x:f>
        <x:v>0.3125</x:v>
      </x:c>
      <x:c r="AC29" s="56" t="n">
        <x:f>IF($F$5+R29&gt;=65000,1,1-1/(1+($F$5+R29)/(60+$J$5*0.5)))</x:f>
        <x:v>0.3125</x:v>
      </x:c>
      <x:c r="AD29" s="56" t="n">
        <x:f>IF($F$5+S29&gt;=65000,1,1-1/(1+($F$5+S29)/(60+$J$5*0.5)))</x:f>
        <x:v>0.3125</x:v>
      </x:c>
      <x:c r="AE29" s="56" t="n">
        <x:f>IF($F$5+T29&gt;=65000,1,1-1/(1+($F$5+T29)/(60+$J$5*0.5)))</x:f>
        <x:v>0.3125</x:v>
      </x:c>
      <x:c r="AF29" s="56" t="n">
        <x:f>IF($F$5+U29&gt;=65000,1,1-1/(1+($F$5+U29)/(60+$J$5*0.5)))</x:f>
        <x:v>0.3125</x:v>
      </x:c>
      <x:c r="AG29" s="56" t="n">
        <x:f>IF($F$5+V29&gt;=65000,1,1-1/(1+($F$5+V29)/(60+$J$5*0.5)))</x:f>
        <x:v>0.3125</x:v>
      </x:c>
      <x:c r="AH29" s="56" t="n">
        <x:f>1-((5+$J$5*2)/(10+$J$5*2+MAX(0,$D$5+O29)))*(1/(1+MAX(0,$D$5+O29)/(90+$J$5*0.25)))</x:f>
        <x:v>0.6462865716429107</x:v>
      </x:c>
      <x:c r="AI29" s="44" t="str">
        <x:v>Skript + Text</x:v>
      </x:c>
      <x:c r="AJ29" s="44" t="str">
        <x:v>10d10+20</x:v>
      </x:c>
    </x:row>
    <x:row r="30" ht="49" customHeight="1">
      <x:c r="A30" s="44" t="n">
        <x:v>19</x:v>
      </x:c>
      <x:c r="B30" s="44" t="str">
        <x:v>Finality</x:v>
      </x:c>
      <x:c r="C30" s="44" t="str">
        <x:v>2H-Schwert</x:v>
      </x:c>
      <x:c r="D30" s="44" t="str">
        <x:v>MM8</x:v>
      </x:c>
      <x:c r="E30" s="50" t="n">
        <x:f>ROUND(X30*Y30,0)</x:f>
        <x:v>851</x:v>
      </x:c>
      <x:c r="F30" s="51" t="n">
        <x:f>ROUND(($B$5+N30*$H$5+W30)/(1-(AH30/2+(AA30+AB30+AC30+AD30+AE30+AF30)/16+AG30/8)),0)</x:f>
        <x:v>3842</x:v>
      </x:c>
      <x:c r="G30" s="51" t="n">
        <x:f>F30-$B$8</x:f>
        <x:v>0</x:v>
      </x:c>
      <x:c r="H30" s="44" t="str">
        <x:v>Nein</x:v>
      </x:c>
      <x:c r="I30" s="44" t="str">
        <x:v>+120 Accuracy, −20 Speed vor Levelskalierung.</x:v>
      </x:c>
      <x:c r="J30" s="44" t="str">
        <x:v>Feuerschaden pro Treffer und Slow (verlangsamt das Ziel).</x:v>
      </x:c>
      <x:c r="K30" s="44" t="str">
        <x:v>—</x:v>
      </x:c>
      <x:c r="L30" s="44" t="str">
        <x:v>Feuer und Slow nicht in DPS.</x:v>
      </x:c>
      <x:c r="M30" s="44" t="str">
        <x:v>https://github.com/Malekitsu/Maw-Mod-MMMerge/blob/4.5/Scripts/General/zzMaw-Items.lua</x:v>
      </x:c>
      <x:c r="N30" s="54" t="n">
        <x:v>0</x:v>
      </x:c>
      <x:c r="O30" s="54" t="n">
        <x:v>0</x:v>
      </x:c>
      <x:c r="P30" s="54" t="n">
        <x:v>0</x:v>
      </x:c>
      <x:c r="Q30" s="54" t="n">
        <x:v>0</x:v>
      </x:c>
      <x:c r="R30" s="54" t="n">
        <x:v>0</x:v>
      </x:c>
      <x:c r="S30" s="54" t="n">
        <x:v>0</x:v>
      </x:c>
      <x:c r="T30" s="54" t="n">
        <x:v>0</x:v>
      </x:c>
      <x:c r="U30" s="54" t="n">
        <x:v>0</x:v>
      </x:c>
      <x:c r="V30" s="54" t="n">
        <x:v>0</x:v>
      </x:c>
      <x:c r="W30" s="54" t="n">
        <x:v>0</x:v>
      </x:c>
      <x:c r="X30" s="44" t="n">
        <x:v>851</x:v>
      </x:c>
      <x:c r="Y30" s="44" t="n">
        <x:v>1</x:v>
      </x:c>
      <x:c r="Z30" s="44" t="n">
        <x:v>0</x:v>
      </x:c>
      <x:c r="AA30" s="56" t="n">
        <x:f>IF($F$5+P30&gt;=65000,1,1-1/(1+($F$5+P30)/(60+$J$5*0.5)))</x:f>
        <x:v>0.3125</x:v>
      </x:c>
      <x:c r="AB30" s="56" t="n">
        <x:f>IF($F$5+Q30&gt;=65000,1,1-1/(1+($F$5+Q30)/(60+$J$5*0.5)))</x:f>
        <x:v>0.3125</x:v>
      </x:c>
      <x:c r="AC30" s="56" t="n">
        <x:f>IF($F$5+R30&gt;=65000,1,1-1/(1+($F$5+R30)/(60+$J$5*0.5)))</x:f>
        <x:v>0.3125</x:v>
      </x:c>
      <x:c r="AD30" s="56" t="n">
        <x:f>IF($F$5+S30&gt;=65000,1,1-1/(1+($F$5+S30)/(60+$J$5*0.5)))</x:f>
        <x:v>0.3125</x:v>
      </x:c>
      <x:c r="AE30" s="56" t="n">
        <x:f>IF($F$5+T30&gt;=65000,1,1-1/(1+($F$5+T30)/(60+$J$5*0.5)))</x:f>
        <x:v>0.3125</x:v>
      </x:c>
      <x:c r="AF30" s="56" t="n">
        <x:f>IF($F$5+U30&gt;=65000,1,1-1/(1+($F$5+U30)/(60+$J$5*0.5)))</x:f>
        <x:v>0.3125</x:v>
      </x:c>
      <x:c r="AG30" s="56" t="n">
        <x:f>IF($F$5+V30&gt;=65000,1,1-1/(1+($F$5+V30)/(60+$J$5*0.5)))</x:f>
        <x:v>0.3125</x:v>
      </x:c>
      <x:c r="AH30" s="56" t="n">
        <x:f>1-((5+$J$5*2)/(10+$J$5*2+MAX(0,$D$5+O30)))*(1/(1+MAX(0,$D$5+O30)/(90+$J$5*0.25)))</x:f>
        <x:v>0.6462865716429107</x:v>
      </x:c>
      <x:c r="AI30" s="44" t="str">
        <x:v>Text + MAW-Stats</x:v>
      </x:c>
      <x:c r="AJ30" s="44" t="str">
        <x:v>8d8+25</x:v>
      </x:c>
    </x:row>
    <x:row r="31" ht="49" customHeight="1">
      <x:c r="A31" s="44" t="n">
        <x:v>20</x:v>
      </x:c>
      <x:c r="B31" s="44" t="str">
        <x:v>Iron Feather</x:v>
      </x:c>
      <x:c r="C31" s="44" t="str">
        <x:v>2H-Schwert</x:v>
      </x:c>
      <x:c r="D31" s="44" t="str">
        <x:v>MM7</x:v>
      </x:c>
      <x:c r="E31" s="50" t="n">
        <x:f>ROUND(X31*Y31,0)</x:f>
        <x:v>766</x:v>
      </x:c>
      <x:c r="F31" s="51" t="n">
        <x:f>ROUND(($B$5+N31*$H$5+W31)/(1-(AH31/2+(AA31+AB31+AC31+AD31+AE31+AF31)/16+AG31/8)),0)</x:f>
        <x:v>3842</x:v>
      </x:c>
      <x:c r="G31" s="51" t="n">
        <x:f>F31-$B$8</x:f>
        <x:v>0</x:v>
      </x:c>
      <x:c r="H31" s="44" t="str">
        <x:v>Nein</x:v>
      </x:c>
      <x:c r="I31" s="44" t="str">
        <x:v>+80 Might vor Levelskalierung.</x:v>
      </x:c>
      <x:c r="J31" s="44" t="str">
        <x:v>Geskripteter zusätzlicher Luft-/Elektrizitätsschaden von 15 Basis je Treffer.</x:v>
      </x:c>
      <x:c r="K31" s="44" t="str">
        <x:v>—</x:v>
      </x:c>
      <x:c r="L31" s="44" t="str">
        <x:v>Luftschaden nicht in DPS.</x:v>
      </x:c>
      <x:c r="M31" s="44" t="str">
        <x:v>https://github.com/Malekitsu/Maw-Mod-MMMerge/blob/4.5/Scripts/General/zzMaw-Items.lua</x:v>
      </x:c>
      <x:c r="N31" s="54" t="n">
        <x:v>0</x:v>
      </x:c>
      <x:c r="O31" s="54" t="n">
        <x:v>0</x:v>
      </x:c>
      <x:c r="P31" s="54" t="n">
        <x:v>0</x:v>
      </x:c>
      <x:c r="Q31" s="54" t="n">
        <x:v>0</x:v>
      </x:c>
      <x:c r="R31" s="54" t="n">
        <x:v>0</x:v>
      </x:c>
      <x:c r="S31" s="54" t="n">
        <x:v>0</x:v>
      </x:c>
      <x:c r="T31" s="54" t="n">
        <x:v>0</x:v>
      </x:c>
      <x:c r="U31" s="54" t="n">
        <x:v>0</x:v>
      </x:c>
      <x:c r="V31" s="54" t="n">
        <x:v>0</x:v>
      </x:c>
      <x:c r="W31" s="54" t="n">
        <x:v>0</x:v>
      </x:c>
      <x:c r="X31" s="44" t="n">
        <x:v>766</x:v>
      </x:c>
      <x:c r="Y31" s="44" t="n">
        <x:v>1</x:v>
      </x:c>
      <x:c r="Z31" s="44" t="n">
        <x:v>0</x:v>
      </x:c>
      <x:c r="AA31" s="56" t="n">
        <x:f>IF($F$5+P31&gt;=65000,1,1-1/(1+($F$5+P31)/(60+$J$5*0.5)))</x:f>
        <x:v>0.3125</x:v>
      </x:c>
      <x:c r="AB31" s="56" t="n">
        <x:f>IF($F$5+Q31&gt;=65000,1,1-1/(1+($F$5+Q31)/(60+$J$5*0.5)))</x:f>
        <x:v>0.3125</x:v>
      </x:c>
      <x:c r="AC31" s="56" t="n">
        <x:f>IF($F$5+R31&gt;=65000,1,1-1/(1+($F$5+R31)/(60+$J$5*0.5)))</x:f>
        <x:v>0.3125</x:v>
      </x:c>
      <x:c r="AD31" s="56" t="n">
        <x:f>IF($F$5+S31&gt;=65000,1,1-1/(1+($F$5+S31)/(60+$J$5*0.5)))</x:f>
        <x:v>0.3125</x:v>
      </x:c>
      <x:c r="AE31" s="56" t="n">
        <x:f>IF($F$5+T31&gt;=65000,1,1-1/(1+($F$5+T31)/(60+$J$5*0.5)))</x:f>
        <x:v>0.3125</x:v>
      </x:c>
      <x:c r="AF31" s="56" t="n">
        <x:f>IF($F$5+U31&gt;=65000,1,1-1/(1+($F$5+U31)/(60+$J$5*0.5)))</x:f>
        <x:v>0.3125</x:v>
      </x:c>
      <x:c r="AG31" s="56" t="n">
        <x:f>IF($F$5+V31&gt;=65000,1,1-1/(1+($F$5+V31)/(60+$J$5*0.5)))</x:f>
        <x:v>0.3125</x:v>
      </x:c>
      <x:c r="AH31" s="56" t="n">
        <x:f>1-((5+$J$5*2)/(10+$J$5*2+MAX(0,$D$5+O31)))*(1/(1+MAX(0,$D$5+O31)/(90+$J$5*0.25)))</x:f>
        <x:v>0.6462865716429107</x:v>
      </x:c>
      <x:c r="AI31" s="44" t="str">
        <x:v>Skript</x:v>
      </x:c>
      <x:c r="AJ31" s="44" t="str">
        <x:v>9d10+25</x:v>
      </x:c>
    </x:row>
    <x:row r="32" ht="49" customHeight="1">
      <x:c r="A32" s="44" t="n">
        <x:v>21</x:v>
      </x:c>
      <x:c r="B32" s="44" t="str">
        <x:v>Longseeker</x:v>
      </x:c>
      <x:c r="C32" s="44" t="str">
        <x:v>Bogen</x:v>
      </x:c>
      <x:c r="D32" s="44" t="str">
        <x:v>MM8</x:v>
      </x:c>
      <x:c r="E32" s="50" t="n">
        <x:f>ROUND(X32*Y32,0)</x:f>
        <x:v>736</x:v>
      </x:c>
      <x:c r="F32" s="51" t="n">
        <x:f>ROUND(($B$5+N32*$H$5+W32)/(1-(AH32/2+(AA32+AB32+AC32+AD32+AE32+AF32)/16+AG32/8)),0)</x:f>
        <x:v>3842</x:v>
      </x:c>
      <x:c r="G32" s="51" t="n">
        <x:f>F32-$B$8</x:f>
        <x:v>0</x:v>
      </x:c>
      <x:c r="H32" s="44" t="str">
        <x:v>Nein</x:v>
      </x:c>
      <x:c r="I32" s="44" t="str">
        <x:v>+50 Accuracy vor Skalierung; kein defensiver Stat.</x:v>
      </x:c>
      <x:c r="J32" s="44" t="str">
        <x:v>Schneller Bogen laut Itemtext, zusätzlich Bow-Skill +4 (MAW: +5 bei Level 100).</x:v>
      </x:c>
      <x:c r="K32" s="44" t="str">
        <x:v>—</x:v>
      </x:c>
      <x:c r="L32" s="44" t="str">
        <x:v>Swift-Auswirkung nicht in DPS.</x:v>
      </x:c>
      <x:c r="M32" s="44" t="str">
        <x:v>https://github.com/Malekitsu/Maw-Mod-MMMerge/blob/4.5/Scripts/General/zzMaw-Items.lua</x:v>
      </x:c>
      <x:c r="N32" s="54" t="n">
        <x:v>0</x:v>
      </x:c>
      <x:c r="O32" s="54" t="n">
        <x:v>0</x:v>
      </x:c>
      <x:c r="P32" s="54" t="n">
        <x:v>0</x:v>
      </x:c>
      <x:c r="Q32" s="54" t="n">
        <x:v>0</x:v>
      </x:c>
      <x:c r="R32" s="54" t="n">
        <x:v>0</x:v>
      </x:c>
      <x:c r="S32" s="54" t="n">
        <x:v>0</x:v>
      </x:c>
      <x:c r="T32" s="54" t="n">
        <x:v>0</x:v>
      </x:c>
      <x:c r="U32" s="54" t="n">
        <x:v>0</x:v>
      </x:c>
      <x:c r="V32" s="54" t="n">
        <x:v>0</x:v>
      </x:c>
      <x:c r="W32" s="54" t="n">
        <x:v>0</x:v>
      </x:c>
      <x:c r="X32" s="44" t="n">
        <x:v>736</x:v>
      </x:c>
      <x:c r="Y32" s="44" t="n">
        <x:v>1</x:v>
      </x:c>
      <x:c r="Z32" s="44" t="n">
        <x:v>0</x:v>
      </x:c>
      <x:c r="AA32" s="56" t="n">
        <x:f>IF($F$5+P32&gt;=65000,1,1-1/(1+($F$5+P32)/(60+$J$5*0.5)))</x:f>
        <x:v>0.3125</x:v>
      </x:c>
      <x:c r="AB32" s="56" t="n">
        <x:f>IF($F$5+Q32&gt;=65000,1,1-1/(1+($F$5+Q32)/(60+$J$5*0.5)))</x:f>
        <x:v>0.3125</x:v>
      </x:c>
      <x:c r="AC32" s="56" t="n">
        <x:f>IF($F$5+R32&gt;=65000,1,1-1/(1+($F$5+R32)/(60+$J$5*0.5)))</x:f>
        <x:v>0.3125</x:v>
      </x:c>
      <x:c r="AD32" s="56" t="n">
        <x:f>IF($F$5+S32&gt;=65000,1,1-1/(1+($F$5+S32)/(60+$J$5*0.5)))</x:f>
        <x:v>0.3125</x:v>
      </x:c>
      <x:c r="AE32" s="56" t="n">
        <x:f>IF($F$5+T32&gt;=65000,1,1-1/(1+($F$5+T32)/(60+$J$5*0.5)))</x:f>
        <x:v>0.3125</x:v>
      </x:c>
      <x:c r="AF32" s="56" t="n">
        <x:f>IF($F$5+U32&gt;=65000,1,1-1/(1+($F$5+U32)/(60+$J$5*0.5)))</x:f>
        <x:v>0.3125</x:v>
      </x:c>
      <x:c r="AG32" s="56" t="n">
        <x:f>IF($F$5+V32&gt;=65000,1,1-1/(1+($F$5+V32)/(60+$J$5*0.5)))</x:f>
        <x:v>0.3125</x:v>
      </x:c>
      <x:c r="AH32" s="56" t="n">
        <x:f>1-((5+$J$5*2)/(10+$J$5*2+MAX(0,$D$5+O32)))*(1/(1+MAX(0,$D$5+O32)/(90+$J$5*0.25)))</x:f>
        <x:v>0.6462865716429107</x:v>
      </x:c>
      <x:c r="AI32" s="44" t="str">
        <x:v>Itemtext + MAW-Skills</x:v>
      </x:c>
      <x:c r="AJ32" s="44" t="str">
        <x:v>15d2+14</x:v>
      </x:c>
    </x:row>
    <x:row r="33" ht="49" customHeight="1">
      <x:c r="A33" s="44" t="n">
        <x:v>22</x:v>
      </x:c>
      <x:c r="B33" s="44" t="str">
        <x:v>Elfbane</x:v>
      </x:c>
      <x:c r="C33" s="44" t="str">
        <x:v>2H-Schwert</x:v>
      </x:c>
      <x:c r="D33" s="44" t="str">
        <x:v>MM7</x:v>
      </x:c>
      <x:c r="E33" s="50" t="n">
        <x:f>ROUND(X33*Y33,0)</x:f>
        <x:v>685</x:v>
      </x:c>
      <x:c r="F33" s="51" t="n">
        <x:f>ROUND(($B$5+N33*$H$5+W33)/(1-(AH33/2+(AA33+AB33+AC33+AD33+AE33+AF33)/16+AG33/8)),0)</x:f>
        <x:v>3842</x:v>
      </x:c>
      <x:c r="G33" s="51" t="n">
        <x:f>F33-$B$8</x:f>
        <x:v>0</x:v>
      </x:c>
      <x:c r="H33" s="44" t="str">
        <x:v>Nein</x:v>
      </x:c>
      <x:c r="I33" s="44" t="str">
        <x:v>+100 Speed vor Levelskalierung; Schutz-/Schildbonus nicht in Vitality-Modell enthalten.</x:v>
      </x:c>
      <x:c r="J33" s="44" t="str">
        <x:v>Doppelter Trefferschaden gegen Elfen; zusätzlich Schutzzauber laut Itemtext.</x:v>
      </x:c>
      <x:c r="K33" s="44" t="str">
        <x:v>Nur Goblins (laut ExtraArtifacts).</x:v>
      </x:c>
      <x:c r="L33" s="44" t="str">
        <x:v>Elf-Slaying und Shielding nicht in DPS.</x:v>
      </x:c>
      <x:c r="M33" s="44" t="str">
        <x:v>https://github.com/Malekitsu/Maw-Mod-MMMerge/blob/4.5/Scripts/General/zzMaw-Items.lua</x:v>
      </x:c>
      <x:c r="N33" s="54" t="n">
        <x:v>0</x:v>
      </x:c>
      <x:c r="O33" s="54" t="n">
        <x:v>0</x:v>
      </x:c>
      <x:c r="P33" s="54" t="n">
        <x:v>0</x:v>
      </x:c>
      <x:c r="Q33" s="54" t="n">
        <x:v>0</x:v>
      </x:c>
      <x:c r="R33" s="54" t="n">
        <x:v>0</x:v>
      </x:c>
      <x:c r="S33" s="54" t="n">
        <x:v>0</x:v>
      </x:c>
      <x:c r="T33" s="54" t="n">
        <x:v>0</x:v>
      </x:c>
      <x:c r="U33" s="54" t="n">
        <x:v>0</x:v>
      </x:c>
      <x:c r="V33" s="54" t="n">
        <x:v>0</x:v>
      </x:c>
      <x:c r="W33" s="54" t="n">
        <x:v>0</x:v>
      </x:c>
      <x:c r="X33" s="44" t="n">
        <x:v>685</x:v>
      </x:c>
      <x:c r="Y33" s="44" t="n">
        <x:v>1</x:v>
      </x:c>
      <x:c r="Z33" s="44" t="n">
        <x:v>0</x:v>
      </x:c>
      <x:c r="AA33" s="56" t="n">
        <x:f>IF($F$5+P33&gt;=65000,1,1-1/(1+($F$5+P33)/(60+$J$5*0.5)))</x:f>
        <x:v>0.3125</x:v>
      </x:c>
      <x:c r="AB33" s="56" t="n">
        <x:f>IF($F$5+Q33&gt;=65000,1,1-1/(1+($F$5+Q33)/(60+$J$5*0.5)))</x:f>
        <x:v>0.3125</x:v>
      </x:c>
      <x:c r="AC33" s="56" t="n">
        <x:f>IF($F$5+R33&gt;=65000,1,1-1/(1+($F$5+R33)/(60+$J$5*0.5)))</x:f>
        <x:v>0.3125</x:v>
      </x:c>
      <x:c r="AD33" s="56" t="n">
        <x:f>IF($F$5+S33&gt;=65000,1,1-1/(1+($F$5+S33)/(60+$J$5*0.5)))</x:f>
        <x:v>0.3125</x:v>
      </x:c>
      <x:c r="AE33" s="56" t="n">
        <x:f>IF($F$5+T33&gt;=65000,1,1-1/(1+($F$5+T33)/(60+$J$5*0.5)))</x:f>
        <x:v>0.3125</x:v>
      </x:c>
      <x:c r="AF33" s="56" t="n">
        <x:f>IF($F$5+U33&gt;=65000,1,1-1/(1+($F$5+U33)/(60+$J$5*0.5)))</x:f>
        <x:v>0.3125</x:v>
      </x:c>
      <x:c r="AG33" s="56" t="n">
        <x:f>IF($F$5+V33&gt;=65000,1,1-1/(1+($F$5+V33)/(60+$J$5*0.5)))</x:f>
        <x:v>0.3125</x:v>
      </x:c>
      <x:c r="AH33" s="56" t="n">
        <x:f>1-((5+$J$5*2)/(10+$J$5*2+MAX(0,$D$5+O33)))*(1/(1+MAX(0,$D$5+O33)/(90+$J$5*0.25)))</x:f>
        <x:v>0.6462865716429107</x:v>
      </x:c>
      <x:c r="AI33" s="44" t="str">
        <x:v>Skript + MAW-Stats</x:v>
      </x:c>
      <x:c r="AJ33" s="44" t="str">
        <x:v>8d8+32</x:v>
      </x:c>
    </x:row>
    <x:row r="34" ht="49" customHeight="1">
      <x:c r="A34" s="44" t="n">
        <x:v>23</x:v>
      </x:c>
      <x:c r="B34" s="44" t="str">
        <x:v>Ghoulsbane</x:v>
      </x:c>
      <x:c r="C34" s="44" t="str">
        <x:v>2H-Axt</x:v>
      </x:c>
      <x:c r="D34" s="44" t="str">
        <x:v>MM7</x:v>
      </x:c>
      <x:c r="E34" s="50" t="n">
        <x:f>ROUND(X34*Y34,0)</x:f>
        <x:v>683</x:v>
      </x:c>
      <x:c r="F34" s="51" t="n">
        <x:f>ROUND(($B$5+N34*$H$5+W34)/(1-(AH34/2+(AA34+AB34+AC34+AD34+AE34+AF34)/16+AG34/8)),0)</x:f>
        <x:v>3842</x:v>
      </x:c>
      <x:c r="G34" s="51" t="n">
        <x:f>F34-$B$8</x:f>
        <x:v>0</x:v>
      </x:c>
      <x:c r="H34" s="44" t="str">
        <x:v>Nein</x:v>
      </x:c>
      <x:c r="I34" s="44" t="str">
        <x:v>Immunität gegen Paralyse laut ExtraArtifacts.</x:v>
      </x:c>
      <x:c r="J34" s="44" t="str">
        <x:v>Untote erleiden doppelten Trefferschaden; zusätzlich geskripteter Feuerschaden (15 Basis je Treffer).</x:v>
      </x:c>
      <x:c r="K34" s="44" t="str">
        <x:v>—</x:v>
      </x:c>
      <x:c r="L34" s="44" t="str">
        <x:v>Undead-Slaying und Feuerschaden nicht enthalten.</x:v>
      </x:c>
      <x:c r="M34" s="44" t="str">
        <x:v>https://github.com/Malekitsu/Maw-Mod-MMMerge/blob/4.5/Scripts/Global/ExtraArtifacts.lua</x:v>
      </x:c>
      <x:c r="N34" s="54" t="n">
        <x:v>0</x:v>
      </x:c>
      <x:c r="O34" s="54" t="n">
        <x:v>0</x:v>
      </x:c>
      <x:c r="P34" s="54" t="n">
        <x:v>0</x:v>
      </x:c>
      <x:c r="Q34" s="54" t="n">
        <x:v>0</x:v>
      </x:c>
      <x:c r="R34" s="54" t="n">
        <x:v>0</x:v>
      </x:c>
      <x:c r="S34" s="54" t="n">
        <x:v>0</x:v>
      </x:c>
      <x:c r="T34" s="54" t="n">
        <x:v>0</x:v>
      </x:c>
      <x:c r="U34" s="54" t="n">
        <x:v>0</x:v>
      </x:c>
      <x:c r="V34" s="54" t="n">
        <x:v>0</x:v>
      </x:c>
      <x:c r="W34" s="54" t="n">
        <x:v>0</x:v>
      </x:c>
      <x:c r="X34" s="44" t="n">
        <x:v>683</x:v>
      </x:c>
      <x:c r="Y34" s="44" t="n">
        <x:v>1</x:v>
      </x:c>
      <x:c r="Z34" s="44" t="n">
        <x:v>0</x:v>
      </x:c>
      <x:c r="AA34" s="56" t="n">
        <x:f>IF($F$5+P34&gt;=65000,1,1-1/(1+($F$5+P34)/(60+$J$5*0.5)))</x:f>
        <x:v>0.3125</x:v>
      </x:c>
      <x:c r="AB34" s="56" t="n">
        <x:f>IF($F$5+Q34&gt;=65000,1,1-1/(1+($F$5+Q34)/(60+$J$5*0.5)))</x:f>
        <x:v>0.3125</x:v>
      </x:c>
      <x:c r="AC34" s="56" t="n">
        <x:f>IF($F$5+R34&gt;=65000,1,1-1/(1+($F$5+R34)/(60+$J$5*0.5)))</x:f>
        <x:v>0.3125</x:v>
      </x:c>
      <x:c r="AD34" s="56" t="n">
        <x:f>IF($F$5+S34&gt;=65000,1,1-1/(1+($F$5+S34)/(60+$J$5*0.5)))</x:f>
        <x:v>0.3125</x:v>
      </x:c>
      <x:c r="AE34" s="56" t="n">
        <x:f>IF($F$5+T34&gt;=65000,1,1-1/(1+($F$5+T34)/(60+$J$5*0.5)))</x:f>
        <x:v>0.3125</x:v>
      </x:c>
      <x:c r="AF34" s="56" t="n">
        <x:f>IF($F$5+U34&gt;=65000,1,1-1/(1+($F$5+U34)/(60+$J$5*0.5)))</x:f>
        <x:v>0.3125</x:v>
      </x:c>
      <x:c r="AG34" s="56" t="n">
        <x:f>IF($F$5+V34&gt;=65000,1,1-1/(1+($F$5+V34)/(60+$J$5*0.5)))</x:f>
        <x:v>0.3125</x:v>
      </x:c>
      <x:c r="AH34" s="56" t="n">
        <x:f>1-((5+$J$5*2)/(10+$J$5*2+MAX(0,$D$5+O34)))*(1/(1+MAX(0,$D$5+O34)/(90+$J$5*0.25)))</x:f>
        <x:v>0.6462865716429107</x:v>
      </x:c>
      <x:c r="AI34" s="44" t="str">
        <x:v>Skript</x:v>
      </x:c>
      <x:c r="AJ34" s="44" t="str">
        <x:v>6d9+19</x:v>
      </x:c>
    </x:row>
    <x:row r="35" ht="49" customHeight="1">
      <x:c r="A35" s="44" t="n">
        <x:v>24</x:v>
      </x:c>
      <x:c r="B35" s="44" t="str">
        <x:v>Wallace</x:v>
      </x:c>
      <x:c r="C35" s="44" t="str">
        <x:v>1H-Schwert</x:v>
      </x:c>
      <x:c r="D35" s="44" t="str">
        <x:v>MM7</x:v>
      </x:c>
      <x:c r="E35" s="50" t="n">
        <x:f>ROUND(X35*Y35,0)</x:f>
        <x:v>649</x:v>
      </x:c>
      <x:c r="F35" s="51" t="n">
        <x:f>ROUND(($B$5+N35*$H$5+W35)/(1-(AH35/2+(AA35+AB35+AC35+AD35+AE35+AF35)/16+AG35/8)),0)</x:f>
        <x:v>3842</x:v>
      </x:c>
      <x:c r="G35" s="51" t="n">
        <x:f>F35-$B$8</x:f>
        <x:v>0</x:v>
      </x:c>
      <x:c r="H35" s="44" t="str">
        <x:v>Nein</x:v>
      </x:c>
      <x:c r="I35" s="44" t="str">
        <x:v>+40 Personality vor Levelskalierung, kaum direkter Vitality-Effekt.</x:v>
      </x:c>
      <x:c r="J35" s="44" t="str">
        <x:v>+10 Armsmaster (MAW bei Level 100 +13): steigert physischen Schaden und Tempo.</x:v>
      </x:c>
      <x:c r="K35" s="44" t="str">
        <x:v>—</x:v>
      </x:c>
      <x:c r="L35" s="44" t="str">
        <x:v>Skillbonus ist im Modell-DPS berücksichtigt.</x:v>
      </x:c>
      <x:c r="M35" s="44" t="str">
        <x:v>https://github.com/Malekitsu/Maw-Mod-MMMerge/blob/4.5/Scripts/General/zzMaw-Items.lua</x:v>
      </x:c>
      <x:c r="N35" s="54" t="n">
        <x:v>0</x:v>
      </x:c>
      <x:c r="O35" s="54" t="n">
        <x:v>0</x:v>
      </x:c>
      <x:c r="P35" s="54" t="n">
        <x:v>0</x:v>
      </x:c>
      <x:c r="Q35" s="54" t="n">
        <x:v>0</x:v>
      </x:c>
      <x:c r="R35" s="54" t="n">
        <x:v>0</x:v>
      </x:c>
      <x:c r="S35" s="54" t="n">
        <x:v>0</x:v>
      </x:c>
      <x:c r="T35" s="54" t="n">
        <x:v>0</x:v>
      </x:c>
      <x:c r="U35" s="54" t="n">
        <x:v>0</x:v>
      </x:c>
      <x:c r="V35" s="54" t="n">
        <x:v>0</x:v>
      </x:c>
      <x:c r="W35" s="54" t="n">
        <x:v>0</x:v>
      </x:c>
      <x:c r="X35" s="44" t="n">
        <x:v>649</x:v>
      </x:c>
      <x:c r="Y35" s="44" t="n">
        <x:v>1</x:v>
      </x:c>
      <x:c r="Z35" s="44" t="n">
        <x:v>0</x:v>
      </x:c>
      <x:c r="AA35" s="56" t="n">
        <x:f>IF($F$5+P35&gt;=65000,1,1-1/(1+($F$5+P35)/(60+$J$5*0.5)))</x:f>
        <x:v>0.3125</x:v>
      </x:c>
      <x:c r="AB35" s="56" t="n">
        <x:f>IF($F$5+Q35&gt;=65000,1,1-1/(1+($F$5+Q35)/(60+$J$5*0.5)))</x:f>
        <x:v>0.3125</x:v>
      </x:c>
      <x:c r="AC35" s="56" t="n">
        <x:f>IF($F$5+R35&gt;=65000,1,1-1/(1+($F$5+R35)/(60+$J$5*0.5)))</x:f>
        <x:v>0.3125</x:v>
      </x:c>
      <x:c r="AD35" s="56" t="n">
        <x:f>IF($F$5+S35&gt;=65000,1,1-1/(1+($F$5+S35)/(60+$J$5*0.5)))</x:f>
        <x:v>0.3125</x:v>
      </x:c>
      <x:c r="AE35" s="56" t="n">
        <x:f>IF($F$5+T35&gt;=65000,1,1-1/(1+($F$5+T35)/(60+$J$5*0.5)))</x:f>
        <x:v>0.3125</x:v>
      </x:c>
      <x:c r="AF35" s="56" t="n">
        <x:f>IF($F$5+U35&gt;=65000,1,1-1/(1+($F$5+U35)/(60+$J$5*0.5)))</x:f>
        <x:v>0.3125</x:v>
      </x:c>
      <x:c r="AG35" s="56" t="n">
        <x:f>IF($F$5+V35&gt;=65000,1,1-1/(1+($F$5+V35)/(60+$J$5*0.5)))</x:f>
        <x:v>0.3125</x:v>
      </x:c>
      <x:c r="AH35" s="56" t="n">
        <x:f>1-((5+$J$5*2)/(10+$J$5*2+MAX(0,$D$5+O35)))*(1/(1+MAX(0,$D$5+O35)/(90+$J$5*0.25)))</x:f>
        <x:v>0.6462865716429107</x:v>
      </x:c>
      <x:c r="AI35" s="44" t="str">
        <x:v>MAW-Stats</x:v>
      </x:c>
      <x:c r="AJ35" s="44" t="str">
        <x:v>5d4+30</x:v>
      </x:c>
    </x:row>
    <x:row r="36" ht="49" customHeight="1">
      <x:c r="A36" s="44" t="n">
        <x:v>25</x:v>
      </x:c>
      <x:c r="B36" s="44" t="str">
        <x:v>Ullyses</x:v>
      </x:c>
      <x:c r="C36" s="44" t="str">
        <x:v>Bogen</x:v>
      </x:c>
      <x:c r="D36" s="44" t="str">
        <x:v>MM7</x:v>
      </x:c>
      <x:c r="E36" s="50" t="n">
        <x:f>ROUND(X36*Y36,0)</x:f>
        <x:v>634</x:v>
      </x:c>
      <x:c r="F36" s="51" t="n">
        <x:f>ROUND(($B$5+N36*$H$5+W36)/(1-(AH36/2+(AA36+AB36+AC36+AD36+AE36+AF36)/16+AG36/8)),0)</x:f>
        <x:v>3842</x:v>
      </x:c>
      <x:c r="G36" s="51" t="n">
        <x:f>F36-$B$8</x:f>
        <x:v>0</x:v>
      </x:c>
      <x:c r="H36" s="44" t="str">
        <x:v>Nein</x:v>
      </x:c>
      <x:c r="I36" s="44" t="str">
        <x:v>+80 Accuracy vor Skalierung.</x:v>
      </x:c>
      <x:c r="J36" s="44" t="str">
        <x:v>Geskripteter Wasserschaden (+15 Basis) bei Treffer.</x:v>
      </x:c>
      <x:c r="K36" s="44" t="str">
        <x:v>—</x:v>
      </x:c>
      <x:c r="L36" s="44" t="str">
        <x:v>Wasserschaden nicht in DPS.</x:v>
      </x:c>
      <x:c r="M36" s="44" t="str">
        <x:v>https://github.com/Malekitsu/Maw-Mod-MMMerge/blob/4.5/Scripts/General/zzMaw-Items.lua</x:v>
      </x:c>
      <x:c r="N36" s="54" t="n">
        <x:v>0</x:v>
      </x:c>
      <x:c r="O36" s="54" t="n">
        <x:v>0</x:v>
      </x:c>
      <x:c r="P36" s="54" t="n">
        <x:v>0</x:v>
      </x:c>
      <x:c r="Q36" s="54" t="n">
        <x:v>0</x:v>
      </x:c>
      <x:c r="R36" s="54" t="n">
        <x:v>0</x:v>
      </x:c>
      <x:c r="S36" s="54" t="n">
        <x:v>0</x:v>
      </x:c>
      <x:c r="T36" s="54" t="n">
        <x:v>0</x:v>
      </x:c>
      <x:c r="U36" s="54" t="n">
        <x:v>0</x:v>
      </x:c>
      <x:c r="V36" s="54" t="n">
        <x:v>0</x:v>
      </x:c>
      <x:c r="W36" s="54" t="n">
        <x:v>0</x:v>
      </x:c>
      <x:c r="X36" s="44" t="n">
        <x:v>634</x:v>
      </x:c>
      <x:c r="Y36" s="44" t="n">
        <x:v>1</x:v>
      </x:c>
      <x:c r="Z36" s="44" t="n">
        <x:v>0</x:v>
      </x:c>
      <x:c r="AA36" s="56" t="n">
        <x:f>IF($F$5+P36&gt;=65000,1,1-1/(1+($F$5+P36)/(60+$J$5*0.5)))</x:f>
        <x:v>0.3125</x:v>
      </x:c>
      <x:c r="AB36" s="56" t="n">
        <x:f>IF($F$5+Q36&gt;=65000,1,1-1/(1+($F$5+Q36)/(60+$J$5*0.5)))</x:f>
        <x:v>0.3125</x:v>
      </x:c>
      <x:c r="AC36" s="56" t="n">
        <x:f>IF($F$5+R36&gt;=65000,1,1-1/(1+($F$5+R36)/(60+$J$5*0.5)))</x:f>
        <x:v>0.3125</x:v>
      </x:c>
      <x:c r="AD36" s="56" t="n">
        <x:f>IF($F$5+S36&gt;=65000,1,1-1/(1+($F$5+S36)/(60+$J$5*0.5)))</x:f>
        <x:v>0.3125</x:v>
      </x:c>
      <x:c r="AE36" s="56" t="n">
        <x:f>IF($F$5+T36&gt;=65000,1,1-1/(1+($F$5+T36)/(60+$J$5*0.5)))</x:f>
        <x:v>0.3125</x:v>
      </x:c>
      <x:c r="AF36" s="56" t="n">
        <x:f>IF($F$5+U36&gt;=65000,1,1-1/(1+($F$5+U36)/(60+$J$5*0.5)))</x:f>
        <x:v>0.3125</x:v>
      </x:c>
      <x:c r="AG36" s="56" t="n">
        <x:f>IF($F$5+V36&gt;=65000,1,1-1/(1+($F$5+V36)/(60+$J$5*0.5)))</x:f>
        <x:v>0.3125</x:v>
      </x:c>
      <x:c r="AH36" s="56" t="n">
        <x:f>1-((5+$J$5*2)/(10+$J$5*2+MAX(0,$D$5+O36)))*(1/(1+MAX(0,$D$5+O36)/(90+$J$5*0.25)))</x:f>
        <x:v>0.6462865716429107</x:v>
      </x:c>
      <x:c r="AI36" s="44" t="str">
        <x:v>Skript</x:v>
      </x:c>
      <x:c r="AJ36" s="44" t="str">
        <x:v>10d4+14</x:v>
      </x:c>
    </x:row>
    <x:row r="37" ht="49" customHeight="1">
      <x:c r="A37" s="44" t="n">
        <x:v>26</x:v>
      </x:c>
      <x:c r="B37" s="44" t="str">
        <x:v>Elderaxe</x:v>
      </x:c>
      <x:c r="C37" s="44" t="str">
        <x:v>1H-Axt</x:v>
      </x:c>
      <x:c r="D37" s="44" t="str">
        <x:v>MM8</x:v>
      </x:c>
      <x:c r="E37" s="50" t="n">
        <x:f>ROUND(X37*Y37,0)</x:f>
        <x:v>542</x:v>
      </x:c>
      <x:c r="F37" s="51" t="n">
        <x:f>ROUND(($B$5+N37*$H$5+W37)/(1-(AH37/2+(AA37+AB37+AC37+AD37+AE37+AF37)/16+AG37/8)),0)</x:f>
        <x:v>3842</x:v>
      </x:c>
      <x:c r="G37" s="51" t="n">
        <x:f>F37-$B$8</x:f>
        <x:v>0</x:v>
      </x:c>
      <x:c r="H37" s="44" t="str">
        <x:v>Nein</x:v>
      </x:c>
      <x:c r="I37" s="44" t="str">
        <x:v>+100 Might vor Levelskalierung.</x:v>
      </x:c>
      <x:c r="J37" s="44" t="str">
        <x:v>Kälteschaden pro Treffer, Swift laut Itemtext; Swift-Auswirkung auf Recovery nicht separat bestätigt.</x:v>
      </x:c>
      <x:c r="K37" s="44" t="str">
        <x:v>Nur Minotauren (ExtraArtifacts).</x:v>
      </x:c>
      <x:c r="L37" s="44" t="str">
        <x:v>Kälte und Swift nicht in DPS.</x:v>
      </x:c>
      <x:c r="M37" s="44" t="str">
        <x:v>https://github.com/Malekitsu/Maw-Mod-MMMerge/blob/4.5/Scripts/General/zzMaw-Items.lua</x:v>
      </x:c>
      <x:c r="N37" s="54" t="n">
        <x:v>0</x:v>
      </x:c>
      <x:c r="O37" s="54" t="n">
        <x:v>0</x:v>
      </x:c>
      <x:c r="P37" s="54" t="n">
        <x:v>0</x:v>
      </x:c>
      <x:c r="Q37" s="54" t="n">
        <x:v>0</x:v>
      </x:c>
      <x:c r="R37" s="54" t="n">
        <x:v>0</x:v>
      </x:c>
      <x:c r="S37" s="54" t="n">
        <x:v>0</x:v>
      </x:c>
      <x:c r="T37" s="54" t="n">
        <x:v>0</x:v>
      </x:c>
      <x:c r="U37" s="54" t="n">
        <x:v>0</x:v>
      </x:c>
      <x:c r="V37" s="54" t="n">
        <x:v>0</x:v>
      </x:c>
      <x:c r="W37" s="54" t="n">
        <x:v>0</x:v>
      </x:c>
      <x:c r="X37" s="44" t="n">
        <x:v>542</x:v>
      </x:c>
      <x:c r="Y37" s="44" t="n">
        <x:v>1</x:v>
      </x:c>
      <x:c r="Z37" s="44" t="n">
        <x:v>0</x:v>
      </x:c>
      <x:c r="AA37" s="56" t="n">
        <x:f>IF($F$5+P37&gt;=65000,1,1-1/(1+($F$5+P37)/(60+$J$5*0.5)))</x:f>
        <x:v>0.3125</x:v>
      </x:c>
      <x:c r="AB37" s="56" t="n">
        <x:f>IF($F$5+Q37&gt;=65000,1,1-1/(1+($F$5+Q37)/(60+$J$5*0.5)))</x:f>
        <x:v>0.3125</x:v>
      </x:c>
      <x:c r="AC37" s="56" t="n">
        <x:f>IF($F$5+R37&gt;=65000,1,1-1/(1+($F$5+R37)/(60+$J$5*0.5)))</x:f>
        <x:v>0.3125</x:v>
      </x:c>
      <x:c r="AD37" s="56" t="n">
        <x:f>IF($F$5+S37&gt;=65000,1,1-1/(1+($F$5+S37)/(60+$J$5*0.5)))</x:f>
        <x:v>0.3125</x:v>
      </x:c>
      <x:c r="AE37" s="56" t="n">
        <x:f>IF($F$5+T37&gt;=65000,1,1-1/(1+($F$5+T37)/(60+$J$5*0.5)))</x:f>
        <x:v>0.3125</x:v>
      </x:c>
      <x:c r="AF37" s="56" t="n">
        <x:f>IF($F$5+U37&gt;=65000,1,1-1/(1+($F$5+U37)/(60+$J$5*0.5)))</x:f>
        <x:v>0.3125</x:v>
      </x:c>
      <x:c r="AG37" s="56" t="n">
        <x:f>IF($F$5+V37&gt;=65000,1,1-1/(1+($F$5+V37)/(60+$J$5*0.5)))</x:f>
        <x:v>0.3125</x:v>
      </x:c>
      <x:c r="AH37" s="56" t="n">
        <x:f>1-((5+$J$5*2)/(10+$J$5*2+MAX(0,$D$5+O37)))*(1/(1+MAX(0,$D$5+O37)/(90+$J$5*0.25)))</x:f>
        <x:v>0.6462865716429107</x:v>
      </x:c>
      <x:c r="AI37" s="44" t="str">
        <x:v>Text + MAW-Stats</x:v>
      </x:c>
      <x:c r="AJ37" s="44" t="str">
        <x:v>8d6+16</x:v>
      </x:c>
    </x:row>
    <x:row r="38" ht="49" customHeight="1">
      <x:c r="A38" s="44" t="n">
        <x:v>27</x:v>
      </x:c>
      <x:c r="B38" s="44" t="str">
        <x:v>Hell's Cleaver</x:v>
      </x:c>
      <x:c r="C38" s="44" t="str">
        <x:v>1H-Axt</x:v>
      </x:c>
      <x:c r="D38" s="44" t="str">
        <x:v>MM8</x:v>
      </x:c>
      <x:c r="E38" s="50" t="n">
        <x:f>ROUND(X38*Y38,0)</x:f>
        <x:v>542</x:v>
      </x:c>
      <x:c r="F38" s="51" t="n">
        <x:f>ROUND(($B$5+N38*$H$5+W38)/(1-(AH38/2+(AA38+AB38+AC38+AD38+AE38+AF38)/16+AG38/8)),0)</x:f>
        <x:v>3842</x:v>
      </x:c>
      <x:c r="G38" s="51" t="n">
        <x:f>F38-$B$8</x:f>
        <x:v>0</x:v>
      </x:c>
      <x:c r="H38" s="44" t="str">
        <x:v>Nein</x:v>
      </x:c>
      <x:c r="I38" s="44" t="str">
        <x:v>+70 Might, +70 Accuracy, +50 Intellect/Personality im MAW-Code (Itemtext weicht bei Vorzeichen ab).</x:v>
      </x:c>
      <x:c r="J38" s="44" t="str">
        <x:v>Hohe Might-/Accuracy-Boni statt direktem Trefferproc.</x:v>
      </x:c>
      <x:c r="K38" s="44" t="str">
        <x:v>—</x:v>
      </x:c>
      <x:c r="L38" s="44" t="str">
        <x:v>Keine externen Schadenseffekte enthalten.</x:v>
      </x:c>
      <x:c r="M38" s="44" t="str">
        <x:v>https://github.com/Malekitsu/Maw-Mod-MMMerge/blob/4.5/Scripts/General/zzMaw-Items.lua</x:v>
      </x:c>
      <x:c r="N38" s="54" t="n">
        <x:v>0</x:v>
      </x:c>
      <x:c r="O38" s="54" t="n">
        <x:v>0</x:v>
      </x:c>
      <x:c r="P38" s="54" t="n">
        <x:v>0</x:v>
      </x:c>
      <x:c r="Q38" s="54" t="n">
        <x:v>0</x:v>
      </x:c>
      <x:c r="R38" s="54" t="n">
        <x:v>0</x:v>
      </x:c>
      <x:c r="S38" s="54" t="n">
        <x:v>0</x:v>
      </x:c>
      <x:c r="T38" s="54" t="n">
        <x:v>0</x:v>
      </x:c>
      <x:c r="U38" s="54" t="n">
        <x:v>0</x:v>
      </x:c>
      <x:c r="V38" s="54" t="n">
        <x:v>0</x:v>
      </x:c>
      <x:c r="W38" s="54" t="n">
        <x:v>0</x:v>
      </x:c>
      <x:c r="X38" s="44" t="n">
        <x:v>542</x:v>
      </x:c>
      <x:c r="Y38" s="44" t="n">
        <x:v>1</x:v>
      </x:c>
      <x:c r="Z38" s="44" t="n">
        <x:v>0</x:v>
      </x:c>
      <x:c r="AA38" s="56" t="n">
        <x:f>IF($F$5+P38&gt;=65000,1,1-1/(1+($F$5+P38)/(60+$J$5*0.5)))</x:f>
        <x:v>0.3125</x:v>
      </x:c>
      <x:c r="AB38" s="56" t="n">
        <x:f>IF($F$5+Q38&gt;=65000,1,1-1/(1+($F$5+Q38)/(60+$J$5*0.5)))</x:f>
        <x:v>0.3125</x:v>
      </x:c>
      <x:c r="AC38" s="56" t="n">
        <x:f>IF($F$5+R38&gt;=65000,1,1-1/(1+($F$5+R38)/(60+$J$5*0.5)))</x:f>
        <x:v>0.3125</x:v>
      </x:c>
      <x:c r="AD38" s="56" t="n">
        <x:f>IF($F$5+S38&gt;=65000,1,1-1/(1+($F$5+S38)/(60+$J$5*0.5)))</x:f>
        <x:v>0.3125</x:v>
      </x:c>
      <x:c r="AE38" s="56" t="n">
        <x:f>IF($F$5+T38&gt;=65000,1,1-1/(1+($F$5+T38)/(60+$J$5*0.5)))</x:f>
        <x:v>0.3125</x:v>
      </x:c>
      <x:c r="AF38" s="56" t="n">
        <x:f>IF($F$5+U38&gt;=65000,1,1-1/(1+($F$5+U38)/(60+$J$5*0.5)))</x:f>
        <x:v>0.3125</x:v>
      </x:c>
      <x:c r="AG38" s="56" t="n">
        <x:f>IF($F$5+V38&gt;=65000,1,1-1/(1+($F$5+V38)/(60+$J$5*0.5)))</x:f>
        <x:v>0.3125</x:v>
      </x:c>
      <x:c r="AH38" s="56" t="n">
        <x:f>1-((5+$J$5*2)/(10+$J$5*2+MAX(0,$D$5+O38)))*(1/(1+MAX(0,$D$5+O38)/(90+$J$5*0.25)))</x:f>
        <x:v>0.6462865716429107</x:v>
      </x:c>
      <x:c r="AI38" s="44" t="str">
        <x:v>MAW-Stats; Textkonflikt</x:v>
      </x:c>
      <x:c r="AJ38" s="44" t="str">
        <x:v>8d4+24</x:v>
      </x:c>
    </x:row>
    <x:row r="39" ht="49" customHeight="1">
      <x:c r="A39" s="44" t="n">
        <x:v>28</x:v>
      </x:c>
      <x:c r="B39" s="44" t="str">
        <x:v>Blade of Mercy</x:v>
      </x:c>
      <x:c r="C39" s="44" t="str">
        <x:v>Dolch</x:v>
      </x:c>
      <x:c r="D39" s="44" t="str">
        <x:v>MM8</x:v>
      </x:c>
      <x:c r="E39" s="50" t="n">
        <x:f>ROUND(X39*Y39,0)</x:f>
        <x:v>511</x:v>
      </x:c>
      <x:c r="F39" s="51" t="n">
        <x:f>ROUND(($B$5+N39*$H$5+W39)/(1-(AH39/2+(AA39+AB39+AC39+AD39+AE39+AF39)/16+AG39/8)),0)</x:f>
        <x:v>3842</x:v>
      </x:c>
      <x:c r="G39" s="51" t="n">
        <x:f>F39-$B$8</x:f>
        <x:v>0</x:v>
      </x:c>
      <x:c r="H39" s="44" t="str">
        <x:v>Nein</x:v>
      </x:c>
      <x:c r="I39" s="44" t="str">
        <x:v>+100 Might, +100 Accuracy vor Skalierung; Itemtext weicht teils ab.</x:v>
      </x:c>
      <x:c r="J39" s="44" t="str">
        <x:v>Elektrizitätsschaden pro Treffer; besonders hohe Might-/Accuracy-Boni im MAW-Code.</x:v>
      </x:c>
      <x:c r="K39" s="44" t="str">
        <x:v>Nur Necromancer-/Lich-Klassen (ExtraArtifacts).</x:v>
      </x:c>
      <x:c r="L39" s="44" t="str">
        <x:v>Elektrizität nicht in DPS.</x:v>
      </x:c>
      <x:c r="M39" s="44" t="str">
        <x:v>https://github.com/Malekitsu/Maw-Mod-MMMerge/blob/4.5/Scripts/Global/ExtraArtifacts.lua</x:v>
      </x:c>
      <x:c r="N39" s="54" t="n">
        <x:v>0</x:v>
      </x:c>
      <x:c r="O39" s="54" t="n">
        <x:v>0</x:v>
      </x:c>
      <x:c r="P39" s="54" t="n">
        <x:v>0</x:v>
      </x:c>
      <x:c r="Q39" s="54" t="n">
        <x:v>0</x:v>
      </x:c>
      <x:c r="R39" s="54" t="n">
        <x:v>0</x:v>
      </x:c>
      <x:c r="S39" s="54" t="n">
        <x:v>0</x:v>
      </x:c>
      <x:c r="T39" s="54" t="n">
        <x:v>0</x:v>
      </x:c>
      <x:c r="U39" s="54" t="n">
        <x:v>0</x:v>
      </x:c>
      <x:c r="V39" s="54" t="n">
        <x:v>0</x:v>
      </x:c>
      <x:c r="W39" s="54" t="n">
        <x:v>0</x:v>
      </x:c>
      <x:c r="X39" s="44" t="n">
        <x:v>511</x:v>
      </x:c>
      <x:c r="Y39" s="44" t="n">
        <x:v>1</x:v>
      </x:c>
      <x:c r="Z39" s="44" t="n">
        <x:v>0</x:v>
      </x:c>
      <x:c r="AA39" s="56" t="n">
        <x:f>IF($F$5+P39&gt;=65000,1,1-1/(1+($F$5+P39)/(60+$J$5*0.5)))</x:f>
        <x:v>0.3125</x:v>
      </x:c>
      <x:c r="AB39" s="56" t="n">
        <x:f>IF($F$5+Q39&gt;=65000,1,1-1/(1+($F$5+Q39)/(60+$J$5*0.5)))</x:f>
        <x:v>0.3125</x:v>
      </x:c>
      <x:c r="AC39" s="56" t="n">
        <x:f>IF($F$5+R39&gt;=65000,1,1-1/(1+($F$5+R39)/(60+$J$5*0.5)))</x:f>
        <x:v>0.3125</x:v>
      </x:c>
      <x:c r="AD39" s="56" t="n">
        <x:f>IF($F$5+S39&gt;=65000,1,1-1/(1+($F$5+S39)/(60+$J$5*0.5)))</x:f>
        <x:v>0.3125</x:v>
      </x:c>
      <x:c r="AE39" s="56" t="n">
        <x:f>IF($F$5+T39&gt;=65000,1,1-1/(1+($F$5+T39)/(60+$J$5*0.5)))</x:f>
        <x:v>0.3125</x:v>
      </x:c>
      <x:c r="AF39" s="56" t="n">
        <x:f>IF($F$5+U39&gt;=65000,1,1-1/(1+($F$5+U39)/(60+$J$5*0.5)))</x:f>
        <x:v>0.3125</x:v>
      </x:c>
      <x:c r="AG39" s="56" t="n">
        <x:f>IF($F$5+V39&gt;=65000,1,1-1/(1+($F$5+V39)/(60+$J$5*0.5)))</x:f>
        <x:v>0.3125</x:v>
      </x:c>
      <x:c r="AH39" s="56" t="n">
        <x:f>1-((5+$J$5*2)/(10+$J$5*2+MAX(0,$D$5+O39)))*(1/(1+MAX(0,$D$5+O39)/(90+$J$5*0.25)))</x:f>
        <x:v>0.6462865716429107</x:v>
      </x:c>
      <x:c r="AI39" s="44" t="str">
        <x:v>Skript + MAW-Stats</x:v>
      </x:c>
      <x:c r="AJ39" s="44" t="str">
        <x:v>8d3+15</x:v>
      </x:c>
    </x:row>
    <x:row r="40" ht="49" customHeight="1">
      <x:c r="A40" s="44" t="n">
        <x:v>29</x:v>
      </x:c>
      <x:c r="B40" s="44" t="str">
        <x:v>Excalibur</x:v>
      </x:c>
      <x:c r="C40" s="44" t="str">
        <x:v>1H-Schwert</x:v>
      </x:c>
      <x:c r="D40" s="44" t="str">
        <x:v>MM6</x:v>
      </x:c>
      <x:c r="E40" s="50" t="n">
        <x:f>ROUND(X40*Y40,0)</x:f>
        <x:v>498</x:v>
      </x:c>
      <x:c r="F40" s="51" t="n">
        <x:f>ROUND(($B$5+N40*$H$5+W40)/(1-(AH40/2+(AA40+AB40+AC40+AD40+AE40+AF40)/16+AG40/8)),0)</x:f>
        <x:v>3842</x:v>
      </x:c>
      <x:c r="G40" s="51" t="n">
        <x:f>F40-$B$8</x:f>
        <x:v>0</x:v>
      </x:c>
      <x:c r="H40" s="44" t="str">
        <x:v>Nein</x:v>
      </x:c>
      <x:c r="I40" s="44" t="str">
        <x:v>+100 Might vor Levelskalierung; Bless nicht in Vitality.</x:v>
      </x:c>
      <x:c r="J40" s="44" t="str">
        <x:v>Geskripteter zusätzlicher Trefferschaden (10 Basis); doppelter Schaden gegen Drachen; Bless-Buff.</x:v>
      </x:c>
      <x:c r="K40" s="44" t="str">
        <x:v>—</x:v>
      </x:c>
      <x:c r="L40" s="44" t="str">
        <x:v>Slayer, Trefferbonus und Bless nicht in DPS.</x:v>
      </x:c>
      <x:c r="M40" s="44" t="str">
        <x:v>https://github.com/Malekitsu/Maw-Mod-MMMerge/blob/4.5/Scripts/Global/ExtraArtifacts.lua</x:v>
      </x:c>
      <x:c r="N40" s="54" t="n">
        <x:v>0</x:v>
      </x:c>
      <x:c r="O40" s="54" t="n">
        <x:v>0</x:v>
      </x:c>
      <x:c r="P40" s="54" t="n">
        <x:v>0</x:v>
      </x:c>
      <x:c r="Q40" s="54" t="n">
        <x:v>0</x:v>
      </x:c>
      <x:c r="R40" s="54" t="n">
        <x:v>0</x:v>
      </x:c>
      <x:c r="S40" s="54" t="n">
        <x:v>0</x:v>
      </x:c>
      <x:c r="T40" s="54" t="n">
        <x:v>0</x:v>
      </x:c>
      <x:c r="U40" s="54" t="n">
        <x:v>0</x:v>
      </x:c>
      <x:c r="V40" s="54" t="n">
        <x:v>0</x:v>
      </x:c>
      <x:c r="W40" s="54" t="n">
        <x:v>0</x:v>
      </x:c>
      <x:c r="X40" s="44" t="n">
        <x:v>498</x:v>
      </x:c>
      <x:c r="Y40" s="44" t="n">
        <x:v>1</x:v>
      </x:c>
      <x:c r="Z40" s="44" t="n">
        <x:v>0</x:v>
      </x:c>
      <x:c r="AA40" s="56" t="n">
        <x:f>IF($F$5+P40&gt;=65000,1,1-1/(1+($F$5+P40)/(60+$J$5*0.5)))</x:f>
        <x:v>0.3125</x:v>
      </x:c>
      <x:c r="AB40" s="56" t="n">
        <x:f>IF($F$5+Q40&gt;=65000,1,1-1/(1+($F$5+Q40)/(60+$J$5*0.5)))</x:f>
        <x:v>0.3125</x:v>
      </x:c>
      <x:c r="AC40" s="56" t="n">
        <x:f>IF($F$5+R40&gt;=65000,1,1-1/(1+($F$5+R40)/(60+$J$5*0.5)))</x:f>
        <x:v>0.3125</x:v>
      </x:c>
      <x:c r="AD40" s="56" t="n">
        <x:f>IF($F$5+S40&gt;=65000,1,1-1/(1+($F$5+S40)/(60+$J$5*0.5)))</x:f>
        <x:v>0.3125</x:v>
      </x:c>
      <x:c r="AE40" s="56" t="n">
        <x:f>IF($F$5+T40&gt;=65000,1,1-1/(1+($F$5+T40)/(60+$J$5*0.5)))</x:f>
        <x:v>0.3125</x:v>
      </x:c>
      <x:c r="AF40" s="56" t="n">
        <x:f>IF($F$5+U40&gt;=65000,1,1-1/(1+($F$5+U40)/(60+$J$5*0.5)))</x:f>
        <x:v>0.3125</x:v>
      </x:c>
      <x:c r="AG40" s="56" t="n">
        <x:f>IF($F$5+V40&gt;=65000,1,1-1/(1+($F$5+V40)/(60+$J$5*0.5)))</x:f>
        <x:v>0.3125</x:v>
      </x:c>
      <x:c r="AH40" s="56" t="n">
        <x:f>1-((5+$J$5*2)/(10+$J$5*2+MAX(0,$D$5+O40)))*(1/(1+MAX(0,$D$5+O40)/(90+$J$5*0.25)))</x:f>
        <x:v>0.6462865716429107</x:v>
      </x:c>
      <x:c r="AI40" s="44" t="str">
        <x:v>Skript</x:v>
      </x:c>
      <x:c r="AJ40" s="44" t="str">
        <x:v>8d5+15</x:v>
      </x:c>
    </x:row>
    <x:row r="41" ht="49" customHeight="1">
      <x:c r="A41" s="44" t="n">
        <x:v>30</x:v>
      </x:c>
      <x:c r="B41" s="44" t="str">
        <x:v>Glomenthal</x:v>
      </x:c>
      <x:c r="C41" s="44" t="str">
        <x:v>1H-Schwert</x:v>
      </x:c>
      <x:c r="D41" s="44" t="str">
        <x:v>MM8</x:v>
      </x:c>
      <x:c r="E41" s="50" t="n">
        <x:f>ROUND(X41*Y41,0)</x:f>
        <x:v>489</x:v>
      </x:c>
      <x:c r="F41" s="51" t="n">
        <x:f>ROUND(($B$5+N41*$H$5+W41)/(1-(AH41/2+(AA41+AB41+AC41+AD41+AE41+AF41)/16+AG41/8)),0)</x:f>
        <x:v>3842</x:v>
      </x:c>
      <x:c r="G41" s="51" t="n">
        <x:f>F41-$B$8</x:f>
        <x:v>0</x:v>
      </x:c>
      <x:c r="H41" s="44" t="str">
        <x:v>Nein</x:v>
      </x:c>
      <x:c r="I41" s="44" t="str">
        <x:v>+60 Might vor Levelskalierung.</x:v>
      </x:c>
      <x:c r="J41" s="44" t="str">
        <x:v>Dunkelschaden pro Treffer; effektiv gegen Gegner ohne Dunkelresistenz.</x:v>
      </x:c>
      <x:c r="K41" s="44" t="str">
        <x:v>—</x:v>
      </x:c>
      <x:c r="L41" s="44" t="str">
        <x:v>Dunkelschaden nicht enthalten.</x:v>
      </x:c>
      <x:c r="M41" s="44" t="str">
        <x:v>https://github.com/Malekitsu/Maw-Mod-MMMerge/blob/4.5/Scripts/General/zzMaw-Items.lua</x:v>
      </x:c>
      <x:c r="N41" s="54" t="n">
        <x:v>0</x:v>
      </x:c>
      <x:c r="O41" s="54" t="n">
        <x:v>0</x:v>
      </x:c>
      <x:c r="P41" s="54" t="n">
        <x:v>0</x:v>
      </x:c>
      <x:c r="Q41" s="54" t="n">
        <x:v>0</x:v>
      </x:c>
      <x:c r="R41" s="54" t="n">
        <x:v>0</x:v>
      </x:c>
      <x:c r="S41" s="54" t="n">
        <x:v>0</x:v>
      </x:c>
      <x:c r="T41" s="54" t="n">
        <x:v>0</x:v>
      </x:c>
      <x:c r="U41" s="54" t="n">
        <x:v>0</x:v>
      </x:c>
      <x:c r="V41" s="54" t="n">
        <x:v>0</x:v>
      </x:c>
      <x:c r="W41" s="54" t="n">
        <x:v>0</x:v>
      </x:c>
      <x:c r="X41" s="44" t="n">
        <x:v>489</x:v>
      </x:c>
      <x:c r="Y41" s="44" t="n">
        <x:v>1</x:v>
      </x:c>
      <x:c r="Z41" s="44" t="n">
        <x:v>0</x:v>
      </x:c>
      <x:c r="AA41" s="56" t="n">
        <x:f>IF($F$5+P41&gt;=65000,1,1-1/(1+($F$5+P41)/(60+$J$5*0.5)))</x:f>
        <x:v>0.3125</x:v>
      </x:c>
      <x:c r="AB41" s="56" t="n">
        <x:f>IF($F$5+Q41&gt;=65000,1,1-1/(1+($F$5+Q41)/(60+$J$5*0.5)))</x:f>
        <x:v>0.3125</x:v>
      </x:c>
      <x:c r="AC41" s="56" t="n">
        <x:f>IF($F$5+R41&gt;=65000,1,1-1/(1+($F$5+R41)/(60+$J$5*0.5)))</x:f>
        <x:v>0.3125</x:v>
      </x:c>
      <x:c r="AD41" s="56" t="n">
        <x:f>IF($F$5+S41&gt;=65000,1,1-1/(1+($F$5+S41)/(60+$J$5*0.5)))</x:f>
        <x:v>0.3125</x:v>
      </x:c>
      <x:c r="AE41" s="56" t="n">
        <x:f>IF($F$5+T41&gt;=65000,1,1-1/(1+($F$5+T41)/(60+$J$5*0.5)))</x:f>
        <x:v>0.3125</x:v>
      </x:c>
      <x:c r="AF41" s="56" t="n">
        <x:f>IF($F$5+U41&gt;=65000,1,1-1/(1+($F$5+U41)/(60+$J$5*0.5)))</x:f>
        <x:v>0.3125</x:v>
      </x:c>
      <x:c r="AG41" s="56" t="n">
        <x:f>IF($F$5+V41&gt;=65000,1,1-1/(1+($F$5+V41)/(60+$J$5*0.5)))</x:f>
        <x:v>0.3125</x:v>
      </x:c>
      <x:c r="AH41" s="56" t="n">
        <x:f>1-((5+$J$5*2)/(10+$J$5*2+MAX(0,$D$5+O41)))*(1/(1+MAX(0,$D$5+O41)/(90+$J$5*0.25)))</x:f>
        <x:v>0.6462865716429107</x:v>
      </x:c>
      <x:c r="AI41" s="44" t="str">
        <x:v>Text + MAW-Stats</x:v>
      </x:c>
      <x:c r="AJ41" s="44" t="str">
        <x:v>8d4+20</x:v>
      </x:c>
    </x:row>
    <x:row r="42" ht="49" customHeight="1">
      <x:c r="A42" s="44" t="n">
        <x:v>31</x:v>
      </x:c>
      <x:c r="B42" s="44" t="str">
        <x:v>Corsair</x:v>
      </x:c>
      <x:c r="C42" s="44" t="str">
        <x:v>1H-Schwert</x:v>
      </x:c>
      <x:c r="D42" s="44" t="str">
        <x:v>MM7</x:v>
      </x:c>
      <x:c r="E42" s="50" t="n">
        <x:f>ROUND(X42*Y42,0)</x:f>
        <x:v>472</x:v>
      </x:c>
      <x:c r="F42" s="51" t="n">
        <x:f>ROUND(($B$5+N42*$H$5+W42)/(1-(AH42/2+(AA42+AB42+AC42+AD42+AE42+AF42)/16+AG42/8)),0)</x:f>
        <x:v>3842</x:v>
      </x:c>
      <x:c r="G42" s="51" t="n">
        <x:f>F42-$B$8</x:f>
        <x:v>0</x:v>
      </x:c>
      <x:c r="H42" s="44" t="str">
        <x:v>Nein</x:v>
      </x:c>
      <x:c r="I42" s="44" t="str">
        <x:v>+80 Luck vor Levelskalierung; begünstigt Kritchance.</x:v>
      </x:c>
      <x:c r="J42" s="44" t="str">
        <x:v>Stealing/Disarm-Boni statt unmittelbarer Schadensprocs.</x:v>
      </x:c>
      <x:c r="K42" s="44" t="str">
        <x:v>—</x:v>
      </x:c>
      <x:c r="L42" s="44" t="str">
        <x:v>Luck-Krit im Modell eingerechnet.</x:v>
      </x:c>
      <x:c r="M42" s="44" t="str">
        <x:v>https://github.com/Malekitsu/Maw-Mod-MMMerge/blob/4.5/Scripts/General/zzMaw-Items.lua</x:v>
      </x:c>
      <x:c r="N42" s="54" t="n">
        <x:v>0</x:v>
      </x:c>
      <x:c r="O42" s="54" t="n">
        <x:v>0</x:v>
      </x:c>
      <x:c r="P42" s="54" t="n">
        <x:v>0</x:v>
      </x:c>
      <x:c r="Q42" s="54" t="n">
        <x:v>0</x:v>
      </x:c>
      <x:c r="R42" s="54" t="n">
        <x:v>0</x:v>
      </x:c>
      <x:c r="S42" s="54" t="n">
        <x:v>0</x:v>
      </x:c>
      <x:c r="T42" s="54" t="n">
        <x:v>0</x:v>
      </x:c>
      <x:c r="U42" s="54" t="n">
        <x:v>0</x:v>
      </x:c>
      <x:c r="V42" s="54" t="n">
        <x:v>0</x:v>
      </x:c>
      <x:c r="W42" s="54" t="n">
        <x:v>0</x:v>
      </x:c>
      <x:c r="X42" s="44" t="n">
        <x:v>472</x:v>
      </x:c>
      <x:c r="Y42" s="44" t="n">
        <x:v>1</x:v>
      </x:c>
      <x:c r="Z42" s="44" t="n">
        <x:v>0</x:v>
      </x:c>
      <x:c r="AA42" s="56" t="n">
        <x:f>IF($F$5+P42&gt;=65000,1,1-1/(1+($F$5+P42)/(60+$J$5*0.5)))</x:f>
        <x:v>0.3125</x:v>
      </x:c>
      <x:c r="AB42" s="56" t="n">
        <x:f>IF($F$5+Q42&gt;=65000,1,1-1/(1+($F$5+Q42)/(60+$J$5*0.5)))</x:f>
        <x:v>0.3125</x:v>
      </x:c>
      <x:c r="AC42" s="56" t="n">
        <x:f>IF($F$5+R42&gt;=65000,1,1-1/(1+($F$5+R42)/(60+$J$5*0.5)))</x:f>
        <x:v>0.3125</x:v>
      </x:c>
      <x:c r="AD42" s="56" t="n">
        <x:f>IF($F$5+S42&gt;=65000,1,1-1/(1+($F$5+S42)/(60+$J$5*0.5)))</x:f>
        <x:v>0.3125</x:v>
      </x:c>
      <x:c r="AE42" s="56" t="n">
        <x:f>IF($F$5+T42&gt;=65000,1,1-1/(1+($F$5+T42)/(60+$J$5*0.5)))</x:f>
        <x:v>0.3125</x:v>
      </x:c>
      <x:c r="AF42" s="56" t="n">
        <x:f>IF($F$5+U42&gt;=65000,1,1-1/(1+($F$5+U42)/(60+$J$5*0.5)))</x:f>
        <x:v>0.3125</x:v>
      </x:c>
      <x:c r="AG42" s="56" t="n">
        <x:f>IF($F$5+V42&gt;=65000,1,1-1/(1+($F$5+V42)/(60+$J$5*0.5)))</x:f>
        <x:v>0.3125</x:v>
      </x:c>
      <x:c r="AH42" s="56" t="n">
        <x:f>1-((5+$J$5*2)/(10+$J$5*2+MAX(0,$D$5+O42)))*(1/(1+MAX(0,$D$5+O42)/(90+$J$5*0.25)))</x:f>
        <x:v>0.6462865716429107</x:v>
      </x:c>
      <x:c r="AI42" s="44" t="str">
        <x:v>MAW-Stats</x:v>
      </x:c>
      <x:c r="AJ42" s="44" t="str">
        <x:v>8d5+16</x:v>
      </x:c>
    </x:row>
    <x:row r="43" ht="49" customHeight="1">
      <x:c r="A43" s="44" t="n">
        <x:v>32</x:v>
      </x:c>
      <x:c r="B43" s="44" t="str">
        <x:v>Elsenrail</x:v>
      </x:c>
      <x:c r="C43" s="44" t="str">
        <x:v>1H-Schwert</x:v>
      </x:c>
      <x:c r="D43" s="44" t="str">
        <x:v>MM8</x:v>
      </x:c>
      <x:c r="E43" s="50" t="n">
        <x:f>ROUND(X43*Y43,0)</x:f>
        <x:v>469</x:v>
      </x:c>
      <x:c r="F43" s="51" t="n">
        <x:f>ROUND(($B$5+N43*$H$5+W43)/(1-(AH43/2+(AA43+AB43+AC43+AD43+AE43+AF43)/16+AG43/8)),0)</x:f>
        <x:v>3842</x:v>
      </x:c>
      <x:c r="G43" s="51" t="n">
        <x:f>F43-$B$8</x:f>
        <x:v>0</x:v>
      </x:c>
      <x:c r="H43" s="44" t="str">
        <x:v>Nein</x:v>
      </x:c>
      <x:c r="I43" s="44" t="str">
        <x:v>+60 Accuracy vor Levelskalierung.</x:v>
      </x:c>
      <x:c r="J43" s="44" t="str">
        <x:v>Lichtschaden pro Treffer; gegen manche Gegner sehr wirksam.</x:v>
      </x:c>
      <x:c r="K43" s="44" t="str">
        <x:v>—</x:v>
      </x:c>
      <x:c r="L43" s="44" t="str">
        <x:v>Lichtschaden nicht enthalten.</x:v>
      </x:c>
      <x:c r="M43" s="44" t="str">
        <x:v>https://github.com/Malekitsu/Maw-Mod-MMMerge/blob/4.5/Scripts/General/zzMaw-Items.lua</x:v>
      </x:c>
      <x:c r="N43" s="54" t="n">
        <x:v>0</x:v>
      </x:c>
      <x:c r="O43" s="54" t="n">
        <x:v>0</x:v>
      </x:c>
      <x:c r="P43" s="54" t="n">
        <x:v>0</x:v>
      </x:c>
      <x:c r="Q43" s="54" t="n">
        <x:v>0</x:v>
      </x:c>
      <x:c r="R43" s="54" t="n">
        <x:v>0</x:v>
      </x:c>
      <x:c r="S43" s="54" t="n">
        <x:v>0</x:v>
      </x:c>
      <x:c r="T43" s="54" t="n">
        <x:v>0</x:v>
      </x:c>
      <x:c r="U43" s="54" t="n">
        <x:v>0</x:v>
      </x:c>
      <x:c r="V43" s="54" t="n">
        <x:v>0</x:v>
      </x:c>
      <x:c r="W43" s="54" t="n">
        <x:v>0</x:v>
      </x:c>
      <x:c r="X43" s="44" t="n">
        <x:v>469</x:v>
      </x:c>
      <x:c r="Y43" s="44" t="n">
        <x:v>1</x:v>
      </x:c>
      <x:c r="Z43" s="44" t="n">
        <x:v>0</x:v>
      </x:c>
      <x:c r="AA43" s="56" t="n">
        <x:f>IF($F$5+P43&gt;=65000,1,1-1/(1+($F$5+P43)/(60+$J$5*0.5)))</x:f>
        <x:v>0.3125</x:v>
      </x:c>
      <x:c r="AB43" s="56" t="n">
        <x:f>IF($F$5+Q43&gt;=65000,1,1-1/(1+($F$5+Q43)/(60+$J$5*0.5)))</x:f>
        <x:v>0.3125</x:v>
      </x:c>
      <x:c r="AC43" s="56" t="n">
        <x:f>IF($F$5+R43&gt;=65000,1,1-1/(1+($F$5+R43)/(60+$J$5*0.5)))</x:f>
        <x:v>0.3125</x:v>
      </x:c>
      <x:c r="AD43" s="56" t="n">
        <x:f>IF($F$5+S43&gt;=65000,1,1-1/(1+($F$5+S43)/(60+$J$5*0.5)))</x:f>
        <x:v>0.3125</x:v>
      </x:c>
      <x:c r="AE43" s="56" t="n">
        <x:f>IF($F$5+T43&gt;=65000,1,1-1/(1+($F$5+T43)/(60+$J$5*0.5)))</x:f>
        <x:v>0.3125</x:v>
      </x:c>
      <x:c r="AF43" s="56" t="n">
        <x:f>IF($F$5+U43&gt;=65000,1,1-1/(1+($F$5+U43)/(60+$J$5*0.5)))</x:f>
        <x:v>0.3125</x:v>
      </x:c>
      <x:c r="AG43" s="56" t="n">
        <x:f>IF($F$5+V43&gt;=65000,1,1-1/(1+($F$5+V43)/(60+$J$5*0.5)))</x:f>
        <x:v>0.3125</x:v>
      </x:c>
      <x:c r="AH43" s="56" t="n">
        <x:f>1-((5+$J$5*2)/(10+$J$5*2+MAX(0,$D$5+O43)))*(1/(1+MAX(0,$D$5+O43)/(90+$J$5*0.25)))</x:f>
        <x:v>0.6462865716429107</x:v>
      </x:c>
      <x:c r="AI43" s="44" t="str">
        <x:v>Text + MAW-Stats</x:v>
      </x:c>
      <x:c r="AJ43" s="44" t="str">
        <x:v>8d4+20</x:v>
      </x:c>
    </x:row>
    <x:row r="44" ht="49" customHeight="1">
      <x:c r="A44" s="44" t="n">
        <x:v>33</x:v>
      </x:c>
      <x:c r="B44" s="44" t="str">
        <x:v>Puck</x:v>
      </x:c>
      <x:c r="C44" s="44" t="str">
        <x:v>1H-Schwert</x:v>
      </x:c>
      <x:c r="D44" s="44" t="str">
        <x:v>MM7</x:v>
      </x:c>
      <x:c r="E44" s="50" t="n">
        <x:f>ROUND(X44*Y44,0)</x:f>
        <x:v>460</x:v>
      </x:c>
      <x:c r="F44" s="51" t="n">
        <x:f>ROUND(($B$5+N44*$H$5+W44)/(1-(AH44/2+(AA44+AB44+AC44+AD44+AE44+AF44)/16+AG44/8)),0)</x:f>
        <x:v>3842</x:v>
      </x:c>
      <x:c r="G44" s="51" t="n">
        <x:f>F44-$B$8</x:f>
        <x:v>0</x:v>
      </x:c>
      <x:c r="H44" s="44" t="str">
        <x:v>Nein</x:v>
      </x:c>
      <x:c r="I44" s="44" t="str">
        <x:v>+80 Speed vor Levelskalierung.</x:v>
      </x:c>
      <x:c r="J44" s="44" t="str">
        <x:v>Swift im Itemtext; geskriptete Erholungsmodifikation −20, in ExtraArtifacts effektiv ca. −10 %.</x:v>
      </x:c>
      <x:c r="K44" s="44" t="str">
        <x:v>—</x:v>
      </x:c>
      <x:c r="L44" s="44" t="str">
        <x:v>Besondere Recovery nicht in Tabellen-DPS.</x:v>
      </x:c>
      <x:c r="M44" s="44" t="str">
        <x:v>https://github.com/Malekitsu/Maw-Mod-MMMerge/blob/4.5/Scripts/General/zzMaw-Items.lua</x:v>
      </x:c>
      <x:c r="N44" s="54" t="n">
        <x:v>0</x:v>
      </x:c>
      <x:c r="O44" s="54" t="n">
        <x:v>0</x:v>
      </x:c>
      <x:c r="P44" s="54" t="n">
        <x:v>0</x:v>
      </x:c>
      <x:c r="Q44" s="54" t="n">
        <x:v>0</x:v>
      </x:c>
      <x:c r="R44" s="54" t="n">
        <x:v>0</x:v>
      </x:c>
      <x:c r="S44" s="54" t="n">
        <x:v>0</x:v>
      </x:c>
      <x:c r="T44" s="54" t="n">
        <x:v>0</x:v>
      </x:c>
      <x:c r="U44" s="54" t="n">
        <x:v>0</x:v>
      </x:c>
      <x:c r="V44" s="54" t="n">
        <x:v>0</x:v>
      </x:c>
      <x:c r="W44" s="54" t="n">
        <x:v>0</x:v>
      </x:c>
      <x:c r="X44" s="44" t="n">
        <x:v>460</x:v>
      </x:c>
      <x:c r="Y44" s="44" t="n">
        <x:v>1</x:v>
      </x:c>
      <x:c r="Z44" s="44" t="n">
        <x:v>0</x:v>
      </x:c>
      <x:c r="AA44" s="56" t="n">
        <x:f>IF($F$5+P44&gt;=65000,1,1-1/(1+($F$5+P44)/(60+$J$5*0.5)))</x:f>
        <x:v>0.3125</x:v>
      </x:c>
      <x:c r="AB44" s="56" t="n">
        <x:f>IF($F$5+Q44&gt;=65000,1,1-1/(1+($F$5+Q44)/(60+$J$5*0.5)))</x:f>
        <x:v>0.3125</x:v>
      </x:c>
      <x:c r="AC44" s="56" t="n">
        <x:f>IF($F$5+R44&gt;=65000,1,1-1/(1+($F$5+R44)/(60+$J$5*0.5)))</x:f>
        <x:v>0.3125</x:v>
      </x:c>
      <x:c r="AD44" s="56" t="n">
        <x:f>IF($F$5+S44&gt;=65000,1,1-1/(1+($F$5+S44)/(60+$J$5*0.5)))</x:f>
        <x:v>0.3125</x:v>
      </x:c>
      <x:c r="AE44" s="56" t="n">
        <x:f>IF($F$5+T44&gt;=65000,1,1-1/(1+($F$5+T44)/(60+$J$5*0.5)))</x:f>
        <x:v>0.3125</x:v>
      </x:c>
      <x:c r="AF44" s="56" t="n">
        <x:f>IF($F$5+U44&gt;=65000,1,1-1/(1+($F$5+U44)/(60+$J$5*0.5)))</x:f>
        <x:v>0.3125</x:v>
      </x:c>
      <x:c r="AG44" s="56" t="n">
        <x:f>IF($F$5+V44&gt;=65000,1,1-1/(1+($F$5+V44)/(60+$J$5*0.5)))</x:f>
        <x:v>0.3125</x:v>
      </x:c>
      <x:c r="AH44" s="56" t="n">
        <x:f>1-((5+$J$5*2)/(10+$J$5*2+MAX(0,$D$5+O44)))*(1/(1+MAX(0,$D$5+O44)/(90+$J$5*0.25)))</x:f>
        <x:v>0.6462865716429107</x:v>
      </x:c>
      <x:c r="AI44" s="44" t="str">
        <x:v>Skript + MAW-Stats</x:v>
      </x:c>
      <x:c r="AJ44" s="44" t="str">
        <x:v>6d6+17</x:v>
      </x:c>
    </x:row>
    <x:row r="45" ht="49" customHeight="1">
      <x:c r="A45" s="44" t="n">
        <x:v>34</x:v>
      </x:c>
      <x:c r="B45" s="44" t="str">
        <x:v>Lightning Crossbow</x:v>
      </x:c>
      <x:c r="C45" s="44" t="str">
        <x:v>Armbrust</x:v>
      </x:c>
      <x:c r="D45" s="44" t="str">
        <x:v>MM8</x:v>
      </x:c>
      <x:c r="E45" s="50" t="n">
        <x:f>ROUND(X45*Y45,0)</x:f>
        <x:v>460</x:v>
      </x:c>
      <x:c r="F45" s="51" t="n">
        <x:f>ROUND(($B$5+N45*$H$5+W45)/(1-(AH45/2+(AA45+AB45+AC45+AD45+AE45+AF45)/16+AG45/8)),0)</x:f>
        <x:v>3842</x:v>
      </x:c>
      <x:c r="G45" s="51" t="n">
        <x:f>F45-$B$8</x:f>
        <x:v>0</x:v>
      </x:c>
      <x:c r="H45" s="44" t="str">
        <x:v>Nein</x:v>
      </x:c>
      <x:c r="I45" s="44" t="str">
        <x:v>+60 Might und Speed vor Skalierung.</x:v>
      </x:c>
      <x:c r="J45" s="44" t="str">
        <x:v>Swift laut Itemtext; besonders für Bogen-/Armbrustnutzer.</x:v>
      </x:c>
      <x:c r="K45" s="44" t="str">
        <x:v>Nur Elfen/Dunkelelfen (ExtraArtifacts).</x:v>
      </x:c>
      <x:c r="L45" s="44" t="str">
        <x:v>Swift-Auswirkung nicht in DPS.</x:v>
      </x:c>
      <x:c r="M45" s="44" t="str">
        <x:v>https://github.com/Malekitsu/Maw-Mod-MMMerge/blob/4.5/Scripts/General/zzMaw-Items.lua</x:v>
      </x:c>
      <x:c r="N45" s="54" t="n">
        <x:v>0</x:v>
      </x:c>
      <x:c r="O45" s="54" t="n">
        <x:v>0</x:v>
      </x:c>
      <x:c r="P45" s="54" t="n">
        <x:v>0</x:v>
      </x:c>
      <x:c r="Q45" s="54" t="n">
        <x:v>0</x:v>
      </x:c>
      <x:c r="R45" s="54" t="n">
        <x:v>0</x:v>
      </x:c>
      <x:c r="S45" s="54" t="n">
        <x:v>0</x:v>
      </x:c>
      <x:c r="T45" s="54" t="n">
        <x:v>0</x:v>
      </x:c>
      <x:c r="U45" s="54" t="n">
        <x:v>0</x:v>
      </x:c>
      <x:c r="V45" s="54" t="n">
        <x:v>0</x:v>
      </x:c>
      <x:c r="W45" s="54" t="n">
        <x:v>0</x:v>
      </x:c>
      <x:c r="X45" s="44" t="n">
        <x:v>460</x:v>
      </x:c>
      <x:c r="Y45" s="44" t="n">
        <x:v>1</x:v>
      </x:c>
      <x:c r="Z45" s="44" t="n">
        <x:v>0</x:v>
      </x:c>
      <x:c r="AA45" s="56" t="n">
        <x:f>IF($F$5+P45&gt;=65000,1,1-1/(1+($F$5+P45)/(60+$J$5*0.5)))</x:f>
        <x:v>0.3125</x:v>
      </x:c>
      <x:c r="AB45" s="56" t="n">
        <x:f>IF($F$5+Q45&gt;=65000,1,1-1/(1+($F$5+Q45)/(60+$J$5*0.5)))</x:f>
        <x:v>0.3125</x:v>
      </x:c>
      <x:c r="AC45" s="56" t="n">
        <x:f>IF($F$5+R45&gt;=65000,1,1-1/(1+($F$5+R45)/(60+$J$5*0.5)))</x:f>
        <x:v>0.3125</x:v>
      </x:c>
      <x:c r="AD45" s="56" t="n">
        <x:f>IF($F$5+S45&gt;=65000,1,1-1/(1+($F$5+S45)/(60+$J$5*0.5)))</x:f>
        <x:v>0.3125</x:v>
      </x:c>
      <x:c r="AE45" s="56" t="n">
        <x:f>IF($F$5+T45&gt;=65000,1,1-1/(1+($F$5+T45)/(60+$J$5*0.5)))</x:f>
        <x:v>0.3125</x:v>
      </x:c>
      <x:c r="AF45" s="56" t="n">
        <x:f>IF($F$5+U45&gt;=65000,1,1-1/(1+($F$5+U45)/(60+$J$5*0.5)))</x:f>
        <x:v>0.3125</x:v>
      </x:c>
      <x:c r="AG45" s="56" t="n">
        <x:f>IF($F$5+V45&gt;=65000,1,1-1/(1+($F$5+V45)/(60+$J$5*0.5)))</x:f>
        <x:v>0.3125</x:v>
      </x:c>
      <x:c r="AH45" s="56" t="n">
        <x:f>1-((5+$J$5*2)/(10+$J$5*2+MAX(0,$D$5+O45)))*(1/(1+MAX(0,$D$5+O45)/(90+$J$5*0.25)))</x:f>
        <x:v>0.6462865716429107</x:v>
      </x:c>
      <x:c r="AI45" s="44" t="str">
        <x:v>Itemtext + MAW-Stats</x:v>
      </x:c>
      <x:c r="AJ45" s="44" t="str">
        <x:v>20d3+15</x:v>
      </x:c>
    </x:row>
    <x:row r="46" ht="49" customHeight="1">
      <x:c r="A46" s="44" t="n">
        <x:v>35</x:v>
      </x:c>
      <x:c r="B46" s="44" t="str">
        <x:v>Old Nick</x:v>
      </x:c>
      <x:c r="C46" s="44" t="str">
        <x:v>Dolch</x:v>
      </x:c>
      <x:c r="D46" s="44" t="str">
        <x:v>MM7</x:v>
      </x:c>
      <x:c r="E46" s="50" t="n">
        <x:f>ROUND(X46*Y46,0)</x:f>
        <x:v>418</x:v>
      </x:c>
      <x:c r="F46" s="51" t="n">
        <x:f>ROUND(($B$5+N46*$H$5+W46)/(1-(AH46/2+(AA46+AB46+AC46+AD46+AE46+AF46)/16+AG46/8)),0)</x:f>
        <x:v>3842</x:v>
      </x:c>
      <x:c r="G46" s="51" t="n">
        <x:f>F46-$B$8</x:f>
        <x:v>0</x:v>
      </x:c>
      <x:c r="H46" s="44" t="str">
        <x:v>Nein</x:v>
      </x:c>
      <x:c r="I46" s="44" t="str">
        <x:v>Disarm-Skillbonus; kein direkter Vitality-Effekt.</x:v>
      </x:c>
      <x:c r="J46" s="44" t="str">
        <x:v>Geskripteter zusätzlicher Wasserschaden (36 Basis); doppelter Trefferschaden gegen Elfen.</x:v>
      </x:c>
      <x:c r="K46" s="44" t="str">
        <x:v>—</x:v>
      </x:c>
      <x:c r="L46" s="44" t="str">
        <x:v>Wasser und Elf-Slaying nicht in DPS.</x:v>
      </x:c>
      <x:c r="M46" s="44" t="str">
        <x:v>https://github.com/Malekitsu/Maw-Mod-MMMerge/blob/4.5/Scripts/Global/ExtraArtifacts.lua</x:v>
      </x:c>
      <x:c r="N46" s="54" t="n">
        <x:v>0</x:v>
      </x:c>
      <x:c r="O46" s="54" t="n">
        <x:v>0</x:v>
      </x:c>
      <x:c r="P46" s="54" t="n">
        <x:v>0</x:v>
      </x:c>
      <x:c r="Q46" s="54" t="n">
        <x:v>0</x:v>
      </x:c>
      <x:c r="R46" s="54" t="n">
        <x:v>0</x:v>
      </x:c>
      <x:c r="S46" s="54" t="n">
        <x:v>0</x:v>
      </x:c>
      <x:c r="T46" s="54" t="n">
        <x:v>0</x:v>
      </x:c>
      <x:c r="U46" s="54" t="n">
        <x:v>0</x:v>
      </x:c>
      <x:c r="V46" s="54" t="n">
        <x:v>0</x:v>
      </x:c>
      <x:c r="W46" s="54" t="n">
        <x:v>0</x:v>
      </x:c>
      <x:c r="X46" s="44" t="n">
        <x:v>418</x:v>
      </x:c>
      <x:c r="Y46" s="44" t="n">
        <x:v>1</x:v>
      </x:c>
      <x:c r="Z46" s="44" t="n">
        <x:v>0</x:v>
      </x:c>
      <x:c r="AA46" s="56" t="n">
        <x:f>IF($F$5+P46&gt;=65000,1,1-1/(1+($F$5+P46)/(60+$J$5*0.5)))</x:f>
        <x:v>0.3125</x:v>
      </x:c>
      <x:c r="AB46" s="56" t="n">
        <x:f>IF($F$5+Q46&gt;=65000,1,1-1/(1+($F$5+Q46)/(60+$J$5*0.5)))</x:f>
        <x:v>0.3125</x:v>
      </x:c>
      <x:c r="AC46" s="56" t="n">
        <x:f>IF($F$5+R46&gt;=65000,1,1-1/(1+($F$5+R46)/(60+$J$5*0.5)))</x:f>
        <x:v>0.3125</x:v>
      </x:c>
      <x:c r="AD46" s="56" t="n">
        <x:f>IF($F$5+S46&gt;=65000,1,1-1/(1+($F$5+S46)/(60+$J$5*0.5)))</x:f>
        <x:v>0.3125</x:v>
      </x:c>
      <x:c r="AE46" s="56" t="n">
        <x:f>IF($F$5+T46&gt;=65000,1,1-1/(1+($F$5+T46)/(60+$J$5*0.5)))</x:f>
        <x:v>0.3125</x:v>
      </x:c>
      <x:c r="AF46" s="56" t="n">
        <x:f>IF($F$5+U46&gt;=65000,1,1-1/(1+($F$5+U46)/(60+$J$5*0.5)))</x:f>
        <x:v>0.3125</x:v>
      </x:c>
      <x:c r="AG46" s="56" t="n">
        <x:f>IF($F$5+V46&gt;=65000,1,1-1/(1+($F$5+V46)/(60+$J$5*0.5)))</x:f>
        <x:v>0.3125</x:v>
      </x:c>
      <x:c r="AH46" s="56" t="n">
        <x:f>1-((5+$J$5*2)/(10+$J$5*2+MAX(0,$D$5+O46)))*(1/(1+MAX(0,$D$5+O46)/(90+$J$5*0.25)))</x:f>
        <x:v>0.6462865716429107</x:v>
      </x:c>
      <x:c r="AI46" s="44" t="str">
        <x:v>Skript</x:v>
      </x:c>
      <x:c r="AJ46" s="44" t="str">
        <x:v>8d5+10</x:v>
      </x:c>
    </x:row>
    <x:row r="47" ht="49" customHeight="1">
      <x:c r="A47" s="44" t="n">
        <x:v>36</x:v>
      </x:c>
      <x:c r="B47" s="44" t="str">
        <x:v>Charele</x:v>
      </x:c>
      <x:c r="C47" s="44" t="str">
        <x:v>Speer</x:v>
      </x:c>
      <x:c r="D47" s="44" t="str">
        <x:v>MM7</x:v>
      </x:c>
      <x:c r="E47" s="50" t="n">
        <x:f>ROUND(X47*Y47,0)</x:f>
        <x:v>383</x:v>
      </x:c>
      <x:c r="F47" s="51" t="n">
        <x:f>ROUND(($B$5+N47*$H$5+W47)/(1-(AH47/2+(AA47+AB47+AC47+AD47+AE47+AF47)/16+AG47/8)),0)</x:f>
        <x:v>3842</x:v>
      </x:c>
      <x:c r="G47" s="51" t="n">
        <x:f>F47-$B$8</x:f>
        <x:v>0</x:v>
      </x:c>
      <x:c r="H47" s="44" t="str">
        <x:v>Nein</x:v>
      </x:c>
      <x:c r="I47" s="44" t="str">
        <x:v>Keine spezifischen Defensivboni dokumentiert.</x:v>
      </x:c>
      <x:c r="J47" s="44" t="str">
        <x:v>Hoher physischer Grundschaden ohne klaren Trefferproc.</x:v>
      </x:c>
      <x:c r="K47" s="44" t="str">
        <x:v>1H/2H-fähig.</x:v>
      </x:c>
      <x:c r="L47" s="44" t="str">
        <x:v>Keine besonderen Schadensprocs.</x:v>
      </x:c>
      <x:c r="M47" s="44" t="str">
        <x:v>https://github.com/Malekitsu/Maw-Mod-MMMerge/blob/4.5/Scripts/General/zzMaw-Items.lua</x:v>
      </x:c>
      <x:c r="N47" s="54" t="n">
        <x:v>0</x:v>
      </x:c>
      <x:c r="O47" s="54" t="n">
        <x:v>0</x:v>
      </x:c>
      <x:c r="P47" s="54" t="n">
        <x:v>0</x:v>
      </x:c>
      <x:c r="Q47" s="54" t="n">
        <x:v>0</x:v>
      </x:c>
      <x:c r="R47" s="54" t="n">
        <x:v>0</x:v>
      </x:c>
      <x:c r="S47" s="54" t="n">
        <x:v>0</x:v>
      </x:c>
      <x:c r="T47" s="54" t="n">
        <x:v>0</x:v>
      </x:c>
      <x:c r="U47" s="54" t="n">
        <x:v>0</x:v>
      </x:c>
      <x:c r="V47" s="54" t="n">
        <x:v>0</x:v>
      </x:c>
      <x:c r="W47" s="54" t="n">
        <x:v>0</x:v>
      </x:c>
      <x:c r="X47" s="44" t="n">
        <x:v>383</x:v>
      </x:c>
      <x:c r="Y47" s="44" t="n">
        <x:v>1</x:v>
      </x:c>
      <x:c r="Z47" s="44" t="n">
        <x:v>0</x:v>
      </x:c>
      <x:c r="AA47" s="56" t="n">
        <x:f>IF($F$5+P47&gt;=65000,1,1-1/(1+($F$5+P47)/(60+$J$5*0.5)))</x:f>
        <x:v>0.3125</x:v>
      </x:c>
      <x:c r="AB47" s="56" t="n">
        <x:f>IF($F$5+Q47&gt;=65000,1,1-1/(1+($F$5+Q47)/(60+$J$5*0.5)))</x:f>
        <x:v>0.3125</x:v>
      </x:c>
      <x:c r="AC47" s="56" t="n">
        <x:f>IF($F$5+R47&gt;=65000,1,1-1/(1+($F$5+R47)/(60+$J$5*0.5)))</x:f>
        <x:v>0.3125</x:v>
      </x:c>
      <x:c r="AD47" s="56" t="n">
        <x:f>IF($F$5+S47&gt;=65000,1,1-1/(1+($F$5+S47)/(60+$J$5*0.5)))</x:f>
        <x:v>0.3125</x:v>
      </x:c>
      <x:c r="AE47" s="56" t="n">
        <x:f>IF($F$5+T47&gt;=65000,1,1-1/(1+($F$5+T47)/(60+$J$5*0.5)))</x:f>
        <x:v>0.3125</x:v>
      </x:c>
      <x:c r="AF47" s="56" t="n">
        <x:f>IF($F$5+U47&gt;=65000,1,1-1/(1+($F$5+U47)/(60+$J$5*0.5)))</x:f>
        <x:v>0.3125</x:v>
      </x:c>
      <x:c r="AG47" s="56" t="n">
        <x:f>IF($F$5+V47&gt;=65000,1,1-1/(1+($F$5+V47)/(60+$J$5*0.5)))</x:f>
        <x:v>0.3125</x:v>
      </x:c>
      <x:c r="AH47" s="56" t="n">
        <x:f>1-((5+$J$5*2)/(10+$J$5*2+MAX(0,$D$5+O47)))*(1/(1+MAX(0,$D$5+O47)/(90+$J$5*0.25)))</x:f>
        <x:v>0.6462865716429107</x:v>
      </x:c>
      <x:c r="AI47" s="44" t="str">
        <x:v>Itemdaten</x:v>
      </x:c>
      <x:c r="AJ47" s="44" t="str">
        <x:v>9d9+18</x:v>
      </x:c>
    </x:row>
    <x:row r="48" ht="49" customHeight="1">
      <x:c r="A48" s="44" t="n">
        <x:v>37</x:v>
      </x:c>
      <x:c r="B48" s="44" t="str">
        <x:v>Mash</x:v>
      </x:c>
      <x:c r="C48" s="44" t="str">
        <x:v>Mace</x:v>
      </x:c>
      <x:c r="D48" s="44" t="str">
        <x:v>MM7</x:v>
      </x:c>
      <x:c r="E48" s="50" t="n">
        <x:f>ROUND(X48*Y48,0)</x:f>
        <x:v>357</x:v>
      </x:c>
      <x:c r="F48" s="51" t="n">
        <x:f>ROUND(($B$5+N48*$H$5+W48)/(1-(AH48/2+(AA48+AB48+AC48+AD48+AE48+AF48)/16+AG48/8)),0)</x:f>
        <x:v>3842</x:v>
      </x:c>
      <x:c r="G48" s="51" t="n">
        <x:f>F48-$B$8</x:f>
        <x:v>0</x:v>
      </x:c>
      <x:c r="H48" s="44" t="str">
        <x:v>Nein</x:v>
      </x:c>
      <x:c r="I48" s="44" t="str">
        <x:v>+150 Might, −40 Speed/Intellect/Personality vor Skalierung.</x:v>
      </x:c>
      <x:c r="J48" s="44" t="str">
        <x:v>Großer Might-Bonus; etwas langsamer durch Speed-Malus.</x:v>
      </x:c>
      <x:c r="K48" s="44" t="str">
        <x:v>—</x:v>
      </x:c>
      <x:c r="L48" s="44" t="str">
        <x:v>Attributboni sind in DPS berücksichtigt.</x:v>
      </x:c>
      <x:c r="M48" s="44" t="str">
        <x:v>https://github.com/Malekitsu/Maw-Mod-MMMerge/blob/4.5/Scripts/General/zzMaw-Items.lua</x:v>
      </x:c>
      <x:c r="N48" s="54" t="n">
        <x:v>0</x:v>
      </x:c>
      <x:c r="O48" s="54" t="n">
        <x:v>0</x:v>
      </x:c>
      <x:c r="P48" s="54" t="n">
        <x:v>0</x:v>
      </x:c>
      <x:c r="Q48" s="54" t="n">
        <x:v>0</x:v>
      </x:c>
      <x:c r="R48" s="54" t="n">
        <x:v>0</x:v>
      </x:c>
      <x:c r="S48" s="54" t="n">
        <x:v>0</x:v>
      </x:c>
      <x:c r="T48" s="54" t="n">
        <x:v>0</x:v>
      </x:c>
      <x:c r="U48" s="54" t="n">
        <x:v>0</x:v>
      </x:c>
      <x:c r="V48" s="54" t="n">
        <x:v>0</x:v>
      </x:c>
      <x:c r="W48" s="54" t="n">
        <x:v>0</x:v>
      </x:c>
      <x:c r="X48" s="44" t="n">
        <x:v>357</x:v>
      </x:c>
      <x:c r="Y48" s="44" t="n">
        <x:v>1</x:v>
      </x:c>
      <x:c r="Z48" s="44" t="n">
        <x:v>0</x:v>
      </x:c>
      <x:c r="AA48" s="56" t="n">
        <x:f>IF($F$5+P48&gt;=65000,1,1-1/(1+($F$5+P48)/(60+$J$5*0.5)))</x:f>
        <x:v>0.3125</x:v>
      </x:c>
      <x:c r="AB48" s="56" t="n">
        <x:f>IF($F$5+Q48&gt;=65000,1,1-1/(1+($F$5+Q48)/(60+$J$5*0.5)))</x:f>
        <x:v>0.3125</x:v>
      </x:c>
      <x:c r="AC48" s="56" t="n">
        <x:f>IF($F$5+R48&gt;=65000,1,1-1/(1+($F$5+R48)/(60+$J$5*0.5)))</x:f>
        <x:v>0.3125</x:v>
      </x:c>
      <x:c r="AD48" s="56" t="n">
        <x:f>IF($F$5+S48&gt;=65000,1,1-1/(1+($F$5+S48)/(60+$J$5*0.5)))</x:f>
        <x:v>0.3125</x:v>
      </x:c>
      <x:c r="AE48" s="56" t="n">
        <x:f>IF($F$5+T48&gt;=65000,1,1-1/(1+($F$5+T48)/(60+$J$5*0.5)))</x:f>
        <x:v>0.3125</x:v>
      </x:c>
      <x:c r="AF48" s="56" t="n">
        <x:f>IF($F$5+U48&gt;=65000,1,1-1/(1+($F$5+U48)/(60+$J$5*0.5)))</x:f>
        <x:v>0.3125</x:v>
      </x:c>
      <x:c r="AG48" s="56" t="n">
        <x:f>IF($F$5+V48&gt;=65000,1,1-1/(1+($F$5+V48)/(60+$J$5*0.5)))</x:f>
        <x:v>0.3125</x:v>
      </x:c>
      <x:c r="AH48" s="56" t="n">
        <x:f>1-((5+$J$5*2)/(10+$J$5*2+MAX(0,$D$5+O48)))*(1/(1+MAX(0,$D$5+O48)/(90+$J$5*0.25)))</x:f>
        <x:v>0.6462865716429107</x:v>
      </x:c>
      <x:c r="AI48" s="44" t="str">
        <x:v>MAW-Stats</x:v>
      </x:c>
      <x:c r="AJ48" s="44" t="str">
        <x:v>6d6+15</x:v>
      </x:c>
    </x:row>
    <x:row r="49" ht="49" customHeight="1">
      <x:c r="A49" s="44" t="n">
        <x:v>38</x:v>
      </x:c>
      <x:c r="B49" s="44" t="str">
        <x:v>Percival</x:v>
      </x:c>
      <x:c r="C49" s="44" t="str">
        <x:v>Bogen</x:v>
      </x:c>
      <x:c r="D49" s="44" t="str">
        <x:v>MM6</x:v>
      </x:c>
      <x:c r="E49" s="50" t="n">
        <x:f>ROUND(X49*Y49,0)</x:f>
        <x:v>355</x:v>
      </x:c>
      <x:c r="F49" s="51" t="n">
        <x:f>ROUND(($B$5+N49*$H$5+W49)/(1-(AH49/2+(AA49+AB49+AC49+AD49+AE49+AF49)/16+AG49/8)),0)</x:f>
        <x:v>3842</x:v>
      </x:c>
      <x:c r="G49" s="51" t="n">
        <x:f>F49-$B$8</x:f>
        <x:v>0</x:v>
      </x:c>
      <x:c r="H49" s="44" t="str">
        <x:v>Nein</x:v>
      </x:c>
      <x:c r="I49" s="44" t="str">
        <x:v>+40 Speed vor Skalierung; Bonus-Erholung reduziert Schaden nicht direkt.</x:v>
      </x:c>
      <x:c r="J49" s="44" t="str">
        <x:v>Feuerexplosion beim Pfeileinschlag (geskriptet), besonders gegen Gruppen; geringere Erholungszeit.</x:v>
      </x:c>
      <x:c r="K49" s="44" t="str">
        <x:v>—</x:v>
      </x:c>
      <x:c r="L49" s="44" t="str">
        <x:v>Explosion und Recovery-Bonus nicht in Modell-DPS.</x:v>
      </x:c>
      <x:c r="M49" s="44" t="str">
        <x:v>https://github.com/Malekitsu/Maw-Mod-MMMerge/blob/4.5/Scripts/Global/ExtraArtifacts.lua</x:v>
      </x:c>
      <x:c r="N49" s="54" t="n">
        <x:v>0</x:v>
      </x:c>
      <x:c r="O49" s="54" t="n">
        <x:v>0</x:v>
      </x:c>
      <x:c r="P49" s="54" t="n">
        <x:v>0</x:v>
      </x:c>
      <x:c r="Q49" s="54" t="n">
        <x:v>0</x:v>
      </x:c>
      <x:c r="R49" s="54" t="n">
        <x:v>0</x:v>
      </x:c>
      <x:c r="S49" s="54" t="n">
        <x:v>0</x:v>
      </x:c>
      <x:c r="T49" s="54" t="n">
        <x:v>0</x:v>
      </x:c>
      <x:c r="U49" s="54" t="n">
        <x:v>0</x:v>
      </x:c>
      <x:c r="V49" s="54" t="n">
        <x:v>0</x:v>
      </x:c>
      <x:c r="W49" s="54" t="n">
        <x:v>0</x:v>
      </x:c>
      <x:c r="X49" s="44" t="n">
        <x:v>355</x:v>
      </x:c>
      <x:c r="Y49" s="44" t="n">
        <x:v>1</x:v>
      </x:c>
      <x:c r="Z49" s="44" t="n">
        <x:v>0</x:v>
      </x:c>
      <x:c r="AA49" s="56" t="n">
        <x:f>IF($F$5+P49&gt;=65000,1,1-1/(1+($F$5+P49)/(60+$J$5*0.5)))</x:f>
        <x:v>0.3125</x:v>
      </x:c>
      <x:c r="AB49" s="56" t="n">
        <x:f>IF($F$5+Q49&gt;=65000,1,1-1/(1+($F$5+Q49)/(60+$J$5*0.5)))</x:f>
        <x:v>0.3125</x:v>
      </x:c>
      <x:c r="AC49" s="56" t="n">
        <x:f>IF($F$5+R49&gt;=65000,1,1-1/(1+($F$5+R49)/(60+$J$5*0.5)))</x:f>
        <x:v>0.3125</x:v>
      </x:c>
      <x:c r="AD49" s="56" t="n">
        <x:f>IF($F$5+S49&gt;=65000,1,1-1/(1+($F$5+S49)/(60+$J$5*0.5)))</x:f>
        <x:v>0.3125</x:v>
      </x:c>
      <x:c r="AE49" s="56" t="n">
        <x:f>IF($F$5+T49&gt;=65000,1,1-1/(1+($F$5+T49)/(60+$J$5*0.5)))</x:f>
        <x:v>0.3125</x:v>
      </x:c>
      <x:c r="AF49" s="56" t="n">
        <x:f>IF($F$5+U49&gt;=65000,1,1-1/(1+($F$5+U49)/(60+$J$5*0.5)))</x:f>
        <x:v>0.3125</x:v>
      </x:c>
      <x:c r="AG49" s="56" t="n">
        <x:f>IF($F$5+V49&gt;=65000,1,1-1/(1+($F$5+V49)/(60+$J$5*0.5)))</x:f>
        <x:v>0.3125</x:v>
      </x:c>
      <x:c r="AH49" s="56" t="n">
        <x:f>1-((5+$J$5*2)/(10+$J$5*2+MAX(0,$D$5+O49)))*(1/(1+MAX(0,$D$5+O49)/(90+$J$5*0.25)))</x:f>
        <x:v>0.6462865716429107</x:v>
      </x:c>
      <x:c r="AI49" s="44" t="str">
        <x:v>Skript</x:v>
      </x:c>
      <x:c r="AJ49" s="44" t="str">
        <x:v>6d2+13</x:v>
      </x:c>
    </x:row>
    <x:row r="50" ht="49" customHeight="1">
      <x:c r="A50" s="44" t="n">
        <x:v>39</x:v>
      </x:c>
      <x:c r="B50" s="44" t="str">
        <x:v>Staff of the Swamp</x:v>
      </x:c>
      <x:c r="C50" s="44" t="str">
        <x:v>Staff</x:v>
      </x:c>
      <x:c r="D50" s="44" t="str">
        <x:v>MM8</x:v>
      </x:c>
      <x:c r="E50" s="50" t="n">
        <x:f>ROUND(X50*Y50,0)</x:f>
        <x:v>352</x:v>
      </x:c>
      <x:c r="F50" s="51" t="n">
        <x:f>ROUND(($B$5+N50*$H$5+W50)/(1-(AH50/2+(AA50+AB50+AC50+AD50+AE50+AF50)/16+AG50/8)),0)</x:f>
        <x:v>3842</x:v>
      </x:c>
      <x:c r="G50" s="51" t="n">
        <x:f>F50-$B$8</x:f>
        <x:v>0</x:v>
      </x:c>
      <x:c r="H50" s="44" t="str">
        <x:v>Nein</x:v>
      </x:c>
      <x:c r="I50" s="44" t="str">
        <x:v>Immunität gegen Krankheit, Paralyse und Gift laut Itemdaten; Wert nicht in Vitality.</x:v>
      </x:c>
      <x:c r="J50" s="44" t="str">
        <x:v>Schutzstab ohne direkten Schadensproc; Shielding laut Text.</x:v>
      </x:c>
      <x:c r="K50" s="44" t="str">
        <x:v>—</x:v>
      </x:c>
      <x:c r="L50" s="44" t="str">
        <x:v>Immunitäten nicht als DPS.</x:v>
      </x:c>
      <x:c r="M50" s="44" t="str">
        <x:v>https://github.com/Malekitsu/Maw-Mod-MMMerge/blob/4.5/Scripts/Global/ExtraArtifacts.lua</x:v>
      </x:c>
      <x:c r="N50" s="54" t="n">
        <x:v>0</x:v>
      </x:c>
      <x:c r="O50" s="54" t="n">
        <x:v>0</x:v>
      </x:c>
      <x:c r="P50" s="54" t="n">
        <x:v>0</x:v>
      </x:c>
      <x:c r="Q50" s="54" t="n">
        <x:v>0</x:v>
      </x:c>
      <x:c r="R50" s="54" t="n">
        <x:v>0</x:v>
      </x:c>
      <x:c r="S50" s="54" t="n">
        <x:v>0</x:v>
      </x:c>
      <x:c r="T50" s="54" t="n">
        <x:v>0</x:v>
      </x:c>
      <x:c r="U50" s="54" t="n">
        <x:v>0</x:v>
      </x:c>
      <x:c r="V50" s="54" t="n">
        <x:v>0</x:v>
      </x:c>
      <x:c r="W50" s="54" t="n">
        <x:v>0</x:v>
      </x:c>
      <x:c r="X50" s="44" t="n">
        <x:v>352</x:v>
      </x:c>
      <x:c r="Y50" s="44" t="n">
        <x:v>1</x:v>
      </x:c>
      <x:c r="Z50" s="44" t="n">
        <x:v>0</x:v>
      </x:c>
      <x:c r="AA50" s="56" t="n">
        <x:f>IF($F$5+P50&gt;=65000,1,1-1/(1+($F$5+P50)/(60+$J$5*0.5)))</x:f>
        <x:v>0.3125</x:v>
      </x:c>
      <x:c r="AB50" s="56" t="n">
        <x:f>IF($F$5+Q50&gt;=65000,1,1-1/(1+($F$5+Q50)/(60+$J$5*0.5)))</x:f>
        <x:v>0.3125</x:v>
      </x:c>
      <x:c r="AC50" s="56" t="n">
        <x:f>IF($F$5+R50&gt;=65000,1,1-1/(1+($F$5+R50)/(60+$J$5*0.5)))</x:f>
        <x:v>0.3125</x:v>
      </x:c>
      <x:c r="AD50" s="56" t="n">
        <x:f>IF($F$5+S50&gt;=65000,1,1-1/(1+($F$5+S50)/(60+$J$5*0.5)))</x:f>
        <x:v>0.3125</x:v>
      </x:c>
      <x:c r="AE50" s="56" t="n">
        <x:f>IF($F$5+T50&gt;=65000,1,1-1/(1+($F$5+T50)/(60+$J$5*0.5)))</x:f>
        <x:v>0.3125</x:v>
      </x:c>
      <x:c r="AF50" s="56" t="n">
        <x:f>IF($F$5+U50&gt;=65000,1,1-1/(1+($F$5+U50)/(60+$J$5*0.5)))</x:f>
        <x:v>0.3125</x:v>
      </x:c>
      <x:c r="AG50" s="56" t="n">
        <x:f>IF($F$5+V50&gt;=65000,1,1-1/(1+($F$5+V50)/(60+$J$5*0.5)))</x:f>
        <x:v>0.3125</x:v>
      </x:c>
      <x:c r="AH50" s="56" t="n">
        <x:f>1-((5+$J$5*2)/(10+$J$5*2+MAX(0,$D$5+O50)))*(1/(1+MAX(0,$D$5+O50)/(90+$J$5*0.25)))</x:f>
        <x:v>0.6462865716429107</x:v>
      </x:c>
      <x:c r="AI50" s="44" t="str">
        <x:v>Itemtext</x:v>
      </x:c>
      <x:c r="AJ50" s="44" t="str">
        <x:v>8d4+11</x:v>
      </x:c>
    </x:row>
    <x:row r="51" ht="49" customHeight="1">
      <x:c r="A51" s="44" t="n">
        <x:v>40</x:v>
      </x:c>
      <x:c r="B51" s="44" t="str">
        <x:v>Merlin</x:v>
      </x:c>
      <x:c r="C51" s="44" t="str">
        <x:v>Staff</x:v>
      </x:c>
      <x:c r="D51" s="44" t="str">
        <x:v>MM6</x:v>
      </x:c>
      <x:c r="E51" s="50" t="n">
        <x:f>ROUND(X51*Y51,0)</x:f>
        <x:v>350</x:v>
      </x:c>
      <x:c r="F51" s="51" t="n">
        <x:f>ROUND(($B$5+N51*$H$5+W51)/(1-(AH51/2+(AA51+AB51+AC51+AD51+AE51+AF51)/16+AG51/8)),0)</x:f>
        <x:v>3842</x:v>
      </x:c>
      <x:c r="G51" s="51" t="n">
        <x:f>F51-$B$8</x:f>
        <x:v>0</x:v>
      </x:c>
      <x:c r="H51" s="44" t="str">
        <x:v>Nein</x:v>
      </x:c>
      <x:c r="I51" s="44" t="str">
        <x:v>+120 Intellect und Personality, +200 SP, SP-Regeneration; ohne Mana Shield kein Vitality-Bonus.</x:v>
      </x:c>
      <x:c r="J51" s="44" t="str">
        <x:v>Angriffserholungsbonus −20 (effektiv ca. −10 %) im Skript; als Caster-Waffe interessant.</x:v>
      </x:c>
      <x:c r="K51" s="44" t="str">
        <x:v>—</x:v>
      </x:c>
      <x:c r="L51" s="44" t="str">
        <x:v>Erholungseffekt nicht in Modell-DPS.</x:v>
      </x:c>
      <x:c r="M51" s="44" t="str">
        <x:v>https://github.com/Malekitsu/Maw-Mod-MMMerge/blob/4.5/Scripts/Global/ExtraArtifacts.lua</x:v>
      </x:c>
      <x:c r="N51" s="54" t="n">
        <x:v>0</x:v>
      </x:c>
      <x:c r="O51" s="54" t="n">
        <x:v>0</x:v>
      </x:c>
      <x:c r="P51" s="54" t="n">
        <x:v>0</x:v>
      </x:c>
      <x:c r="Q51" s="54" t="n">
        <x:v>0</x:v>
      </x:c>
      <x:c r="R51" s="54" t="n">
        <x:v>0</x:v>
      </x:c>
      <x:c r="S51" s="54" t="n">
        <x:v>0</x:v>
      </x:c>
      <x:c r="T51" s="54" t="n">
        <x:v>0</x:v>
      </x:c>
      <x:c r="U51" s="54" t="n">
        <x:v>0</x:v>
      </x:c>
      <x:c r="V51" s="54" t="n">
        <x:v>0</x:v>
      </x:c>
      <x:c r="W51" s="54" t="n">
        <x:v>0</x:v>
      </x:c>
      <x:c r="X51" s="44" t="n">
        <x:v>350</x:v>
      </x:c>
      <x:c r="Y51" s="44" t="n">
        <x:v>1</x:v>
      </x:c>
      <x:c r="Z51" s="44" t="n">
        <x:v>0</x:v>
      </x:c>
      <x:c r="AA51" s="56" t="n">
        <x:f>IF($F$5+P51&gt;=65000,1,1-1/(1+($F$5+P51)/(60+$J$5*0.5)))</x:f>
        <x:v>0.3125</x:v>
      </x:c>
      <x:c r="AB51" s="56" t="n">
        <x:f>IF($F$5+Q51&gt;=65000,1,1-1/(1+($F$5+Q51)/(60+$J$5*0.5)))</x:f>
        <x:v>0.3125</x:v>
      </x:c>
      <x:c r="AC51" s="56" t="n">
        <x:f>IF($F$5+R51&gt;=65000,1,1-1/(1+($F$5+R51)/(60+$J$5*0.5)))</x:f>
        <x:v>0.3125</x:v>
      </x:c>
      <x:c r="AD51" s="56" t="n">
        <x:f>IF($F$5+S51&gt;=65000,1,1-1/(1+($F$5+S51)/(60+$J$5*0.5)))</x:f>
        <x:v>0.3125</x:v>
      </x:c>
      <x:c r="AE51" s="56" t="n">
        <x:f>IF($F$5+T51&gt;=65000,1,1-1/(1+($F$5+T51)/(60+$J$5*0.5)))</x:f>
        <x:v>0.3125</x:v>
      </x:c>
      <x:c r="AF51" s="56" t="n">
        <x:f>IF($F$5+U51&gt;=65000,1,1-1/(1+($F$5+U51)/(60+$J$5*0.5)))</x:f>
        <x:v>0.3125</x:v>
      </x:c>
      <x:c r="AG51" s="56" t="n">
        <x:f>IF($F$5+V51&gt;=65000,1,1-1/(1+($F$5+V51)/(60+$J$5*0.5)))</x:f>
        <x:v>0.3125</x:v>
      </x:c>
      <x:c r="AH51" s="56" t="n">
        <x:f>1-((5+$J$5*2)/(10+$J$5*2+MAX(0,$D$5+O51)))*(1/(1+MAX(0,$D$5+O51)/(90+$J$5*0.25)))</x:f>
        <x:v>0.6462865716429107</x:v>
      </x:c>
      <x:c r="AI51" s="44" t="str">
        <x:v>Skript</x:v>
      </x:c>
      <x:c r="AJ51" s="44" t="str">
        <x:v>6d6+10</x:v>
      </x:c>
    </x:row>
    <x:row r="52" ht="49" customHeight="1">
      <x:c r="A52" s="44" t="n">
        <x:v>41</x:v>
      </x:c>
      <x:c r="B52" s="44" t="str">
        <x:v>Thor</x:v>
      </x:c>
      <x:c r="C52" s="44" t="str">
        <x:v>Mace</x:v>
      </x:c>
      <x:c r="D52" s="44" t="str">
        <x:v>MM6</x:v>
      </x:c>
      <x:c r="E52" s="50" t="n">
        <x:f>ROUND(X52*Y52,0)</x:f>
        <x:v>338</x:v>
      </x:c>
      <x:c r="F52" s="51" t="n">
        <x:f>ROUND(($B$5+N52*$H$5+W52)/(1-(AH52/2+(AA52+AB52+AC52+AD52+AE52+AF52)/16+AG52/8)),0)</x:f>
        <x:v>3842</x:v>
      </x:c>
      <x:c r="G52" s="51" t="n">
        <x:f>F52-$B$8</x:f>
        <x:v>0</x:v>
      </x:c>
      <x:c r="H52" s="44" t="str">
        <x:v>Nein</x:v>
      </x:c>
      <x:c r="I52" s="44" t="str">
        <x:v>+75 Might vor Levelskalierung.</x:v>
      </x:c>
      <x:c r="J52" s="44" t="str">
        <x:v>Geskripteter zusätzlicher Treffer-Schaden (10 Basis) und Spezialzauber beim Treffer.</x:v>
      </x:c>
      <x:c r="K52" s="44" t="str">
        <x:v>—</x:v>
      </x:c>
      <x:c r="L52" s="44" t="str">
        <x:v>Zauber und Bonus-Hit nicht in DPS.</x:v>
      </x:c>
      <x:c r="M52" s="44" t="str">
        <x:v>https://github.com/Malekitsu/Maw-Mod-MMMerge/blob/4.5/Scripts/Global/ExtraArtifacts.lua</x:v>
      </x:c>
      <x:c r="N52" s="54" t="n">
        <x:v>0</x:v>
      </x:c>
      <x:c r="O52" s="54" t="n">
        <x:v>0</x:v>
      </x:c>
      <x:c r="P52" s="54" t="n">
        <x:v>0</x:v>
      </x:c>
      <x:c r="Q52" s="54" t="n">
        <x:v>0</x:v>
      </x:c>
      <x:c r="R52" s="54" t="n">
        <x:v>0</x:v>
      </x:c>
      <x:c r="S52" s="54" t="n">
        <x:v>0</x:v>
      </x:c>
      <x:c r="T52" s="54" t="n">
        <x:v>0</x:v>
      </x:c>
      <x:c r="U52" s="54" t="n">
        <x:v>0</x:v>
      </x:c>
      <x:c r="V52" s="54" t="n">
        <x:v>0</x:v>
      </x:c>
      <x:c r="W52" s="54" t="n">
        <x:v>0</x:v>
      </x:c>
      <x:c r="X52" s="44" t="n">
        <x:v>338</x:v>
      </x:c>
      <x:c r="Y52" s="44" t="n">
        <x:v>1</x:v>
      </x:c>
      <x:c r="Z52" s="44" t="n">
        <x:v>0</x:v>
      </x:c>
      <x:c r="AA52" s="56" t="n">
        <x:f>IF($F$5+P52&gt;=65000,1,1-1/(1+($F$5+P52)/(60+$J$5*0.5)))</x:f>
        <x:v>0.3125</x:v>
      </x:c>
      <x:c r="AB52" s="56" t="n">
        <x:f>IF($F$5+Q52&gt;=65000,1,1-1/(1+($F$5+Q52)/(60+$J$5*0.5)))</x:f>
        <x:v>0.3125</x:v>
      </x:c>
      <x:c r="AC52" s="56" t="n">
        <x:f>IF($F$5+R52&gt;=65000,1,1-1/(1+($F$5+R52)/(60+$J$5*0.5)))</x:f>
        <x:v>0.3125</x:v>
      </x:c>
      <x:c r="AD52" s="56" t="n">
        <x:f>IF($F$5+S52&gt;=65000,1,1-1/(1+($F$5+S52)/(60+$J$5*0.5)))</x:f>
        <x:v>0.3125</x:v>
      </x:c>
      <x:c r="AE52" s="56" t="n">
        <x:f>IF($F$5+T52&gt;=65000,1,1-1/(1+($F$5+T52)/(60+$J$5*0.5)))</x:f>
        <x:v>0.3125</x:v>
      </x:c>
      <x:c r="AF52" s="56" t="n">
        <x:f>IF($F$5+U52&gt;=65000,1,1-1/(1+($F$5+U52)/(60+$J$5*0.5)))</x:f>
        <x:v>0.3125</x:v>
      </x:c>
      <x:c r="AG52" s="56" t="n">
        <x:f>IF($F$5+V52&gt;=65000,1,1-1/(1+($F$5+V52)/(60+$J$5*0.5)))</x:f>
        <x:v>0.3125</x:v>
      </x:c>
      <x:c r="AH52" s="56" t="n">
        <x:f>1-((5+$J$5*2)/(10+$J$5*2+MAX(0,$D$5+O52)))*(1/(1+MAX(0,$D$5+O52)/(90+$J$5*0.25)))</x:f>
        <x:v>0.6462865716429107</x:v>
      </x:c>
      <x:c r="AI52" s="44" t="str">
        <x:v>Skript</x:v>
      </x:c>
      <x:c r="AJ52" s="44" t="str">
        <x:v>8d5+14</x:v>
      </x:c>
    </x:row>
    <x:row r="53" ht="49" customHeight="1">
      <x:c r="A53" s="44" t="n">
        <x:v>42</x:v>
      </x:c>
      <x:c r="B53" s="44" t="str">
        <x:v>Gibbet</x:v>
      </x:c>
      <x:c r="C53" s="44" t="str">
        <x:v>Speer</x:v>
      </x:c>
      <x:c r="D53" s="44" t="str">
        <x:v>MM7</x:v>
      </x:c>
      <x:c r="E53" s="50" t="n">
        <x:f>ROUND(X53*Y53,0)</x:f>
        <x:v>281</x:v>
      </x:c>
      <x:c r="F53" s="51" t="n">
        <x:f>ROUND(($B$5+N53*$H$5+W53)/(1-(AH53/2+(AA53+AB53+AC53+AD53+AE53+AF53)/16+AG53/8)),0)</x:f>
        <x:v>3842</x:v>
      </x:c>
      <x:c r="G53" s="51" t="n">
        <x:f>F53-$B$8</x:f>
        <x:v>0</x:v>
      </x:c>
      <x:c r="H53" s="44" t="str">
        <x:v>Nein</x:v>
      </x:c>
      <x:c r="I53" s="44" t="str">
        <x:v>Keine direkten Attribute; hoher situativer Offensivnutzen.</x:v>
      </x:c>
      <x:c r="J53" s="44" t="str">
        <x:v>Geskripteter doppelter Trefferschaden gegen Drachen, Dämonen und Untote; zusätzlicher Feuerschaden (15 Basis).</x:v>
      </x:c>
      <x:c r="K53" s="44" t="str">
        <x:v>1H/2H-fähig.</x:v>
      </x:c>
      <x:c r="L53" s="44" t="str">
        <x:v>Slayer und Feuerschaden nicht enthalten.</x:v>
      </x:c>
      <x:c r="M53" s="44" t="str">
        <x:v>https://github.com/Malekitsu/Maw-Mod-MMMerge/blob/4.5/Scripts/Global/ExtraArtifacts.lua</x:v>
      </x:c>
      <x:c r="N53" s="54" t="n">
        <x:v>0</x:v>
      </x:c>
      <x:c r="O53" s="54" t="n">
        <x:v>0</x:v>
      </x:c>
      <x:c r="P53" s="54" t="n">
        <x:v>0</x:v>
      </x:c>
      <x:c r="Q53" s="54" t="n">
        <x:v>0</x:v>
      </x:c>
      <x:c r="R53" s="54" t="n">
        <x:v>0</x:v>
      </x:c>
      <x:c r="S53" s="54" t="n">
        <x:v>0</x:v>
      </x:c>
      <x:c r="T53" s="54" t="n">
        <x:v>0</x:v>
      </x:c>
      <x:c r="U53" s="54" t="n">
        <x:v>0</x:v>
      </x:c>
      <x:c r="V53" s="54" t="n">
        <x:v>0</x:v>
      </x:c>
      <x:c r="W53" s="54" t="n">
        <x:v>0</x:v>
      </x:c>
      <x:c r="X53" s="44" t="n">
        <x:v>281</x:v>
      </x:c>
      <x:c r="Y53" s="44" t="n">
        <x:v>1</x:v>
      </x:c>
      <x:c r="Z53" s="44" t="n">
        <x:v>0</x:v>
      </x:c>
      <x:c r="AA53" s="56" t="n">
        <x:f>IF($F$5+P53&gt;=65000,1,1-1/(1+($F$5+P53)/(60+$J$5*0.5)))</x:f>
        <x:v>0.3125</x:v>
      </x:c>
      <x:c r="AB53" s="56" t="n">
        <x:f>IF($F$5+Q53&gt;=65000,1,1-1/(1+($F$5+Q53)/(60+$J$5*0.5)))</x:f>
        <x:v>0.3125</x:v>
      </x:c>
      <x:c r="AC53" s="56" t="n">
        <x:f>IF($F$5+R53&gt;=65000,1,1-1/(1+($F$5+R53)/(60+$J$5*0.5)))</x:f>
        <x:v>0.3125</x:v>
      </x:c>
      <x:c r="AD53" s="56" t="n">
        <x:f>IF($F$5+S53&gt;=65000,1,1-1/(1+($F$5+S53)/(60+$J$5*0.5)))</x:f>
        <x:v>0.3125</x:v>
      </x:c>
      <x:c r="AE53" s="56" t="n">
        <x:f>IF($F$5+T53&gt;=65000,1,1-1/(1+($F$5+T53)/(60+$J$5*0.5)))</x:f>
        <x:v>0.3125</x:v>
      </x:c>
      <x:c r="AF53" s="56" t="n">
        <x:f>IF($F$5+U53&gt;=65000,1,1-1/(1+($F$5+U53)/(60+$J$5*0.5)))</x:f>
        <x:v>0.3125</x:v>
      </x:c>
      <x:c r="AG53" s="56" t="n">
        <x:f>IF($F$5+V53&gt;=65000,1,1-1/(1+($F$5+V53)/(60+$J$5*0.5)))</x:f>
        <x:v>0.3125</x:v>
      </x:c>
      <x:c r="AH53" s="56" t="n">
        <x:f>1-((5+$J$5*2)/(10+$J$5*2+MAX(0,$D$5+O53)))*(1/(1+MAX(0,$D$5+O53)/(90+$J$5*0.25)))</x:f>
        <x:v>0.6462865716429107</x:v>
      </x:c>
      <x:c r="AI53" s="44" t="str">
        <x:v>Skript</x:v>
      </x:c>
      <x:c r="AJ53" s="44" t="str">
        <x:v>6d6+18</x:v>
      </x:c>
    </x:row>
    <x:row r="54" ht="49" customHeight="1">
      <x:c r="A54" s="44" t="n">
        <x:v>43</x:v>
      </x:c>
      <x:c r="B54" s="44" t="str">
        <x:v>Justice</x:v>
      </x:c>
      <x:c r="C54" s="44" t="str">
        <x:v>Mace</x:v>
      </x:c>
      <x:c r="D54" s="44" t="str">
        <x:v>MM7</x:v>
      </x:c>
      <x:c r="E54" s="50" t="n">
        <x:f>ROUND(X54*Y54,0)</x:f>
        <x:v>219</x:v>
      </x:c>
      <x:c r="F54" s="51" t="n">
        <x:f>ROUND(($B$5+N54*$H$5+W54)/(1-(AH54/2+(AA54+AB54+AC54+AD54+AE54+AF54)/16+AG54/8)),0)</x:f>
        <x:v>3842</x:v>
      </x:c>
      <x:c r="G54" s="51" t="n">
        <x:f>F54-$B$8</x:f>
        <x:v>0</x:v>
      </x:c>
      <x:c r="H54" s="44" t="str">
        <x:v>Nein</x:v>
      </x:c>
      <x:c r="I54" s="44" t="str">
        <x:v>−40 Speed vor Skalierung.</x:v>
      </x:c>
      <x:c r="J54" s="44" t="str">
        <x:v>Undead Slaying; Boni auf Mind-/Body-Magic.</x:v>
      </x:c>
      <x:c r="K54" s="44" t="str">
        <x:v>—</x:v>
      </x:c>
      <x:c r="L54" s="44" t="str">
        <x:v>Slayer/Zauber-Boni nicht in DPS.</x:v>
      </x:c>
      <x:c r="M54" s="44" t="str">
        <x:v>https://github.com/Malekitsu/Maw-Mod-MMMerge/blob/4.5/Scripts/General/zzMaw-Items.lua</x:v>
      </x:c>
      <x:c r="N54" s="54" t="n">
        <x:v>0</x:v>
      </x:c>
      <x:c r="O54" s="54" t="n">
        <x:v>0</x:v>
      </x:c>
      <x:c r="P54" s="54" t="n">
        <x:v>0</x:v>
      </x:c>
      <x:c r="Q54" s="54" t="n">
        <x:v>0</x:v>
      </x:c>
      <x:c r="R54" s="54" t="n">
        <x:v>0</x:v>
      </x:c>
      <x:c r="S54" s="54" t="n">
        <x:v>0</x:v>
      </x:c>
      <x:c r="T54" s="54" t="n">
        <x:v>0</x:v>
      </x:c>
      <x:c r="U54" s="54" t="n">
        <x:v>0</x:v>
      </x:c>
      <x:c r="V54" s="54" t="n">
        <x:v>0</x:v>
      </x:c>
      <x:c r="W54" s="54" t="n">
        <x:v>0</x:v>
      </x:c>
      <x:c r="X54" s="44" t="n">
        <x:v>219</x:v>
      </x:c>
      <x:c r="Y54" s="44" t="n">
        <x:v>1</x:v>
      </x:c>
      <x:c r="Z54" s="44" t="n">
        <x:v>0</x:v>
      </x:c>
      <x:c r="AA54" s="56" t="n">
        <x:f>IF($F$5+P54&gt;=65000,1,1-1/(1+($F$5+P54)/(60+$J$5*0.5)))</x:f>
        <x:v>0.3125</x:v>
      </x:c>
      <x:c r="AB54" s="56" t="n">
        <x:f>IF($F$5+Q54&gt;=65000,1,1-1/(1+($F$5+Q54)/(60+$J$5*0.5)))</x:f>
        <x:v>0.3125</x:v>
      </x:c>
      <x:c r="AC54" s="56" t="n">
        <x:f>IF($F$5+R54&gt;=65000,1,1-1/(1+($F$5+R54)/(60+$J$5*0.5)))</x:f>
        <x:v>0.3125</x:v>
      </x:c>
      <x:c r="AD54" s="56" t="n">
        <x:f>IF($F$5+S54&gt;=65000,1,1-1/(1+($F$5+S54)/(60+$J$5*0.5)))</x:f>
        <x:v>0.3125</x:v>
      </x:c>
      <x:c r="AE54" s="56" t="n">
        <x:f>IF($F$5+T54&gt;=65000,1,1-1/(1+($F$5+T54)/(60+$J$5*0.5)))</x:f>
        <x:v>0.3125</x:v>
      </x:c>
      <x:c r="AF54" s="56" t="n">
        <x:f>IF($F$5+U54&gt;=65000,1,1-1/(1+($F$5+U54)/(60+$J$5*0.5)))</x:f>
        <x:v>0.3125</x:v>
      </x:c>
      <x:c r="AG54" s="56" t="n">
        <x:f>IF($F$5+V54&gt;=65000,1,1-1/(1+($F$5+V54)/(60+$J$5*0.5)))</x:f>
        <x:v>0.3125</x:v>
      </x:c>
      <x:c r="AH54" s="56" t="n">
        <x:f>1-((5+$J$5*2)/(10+$J$5*2+MAX(0,$D$5+O54)))*(1/(1+MAX(0,$D$5+O54)/(90+$J$5*0.25)))</x:f>
        <x:v>0.6462865716429107</x:v>
      </x:c>
      <x:c r="AI54" s="44" t="str">
        <x:v>Text + MAW-Stats</x:v>
      </x:c>
      <x:c r="AJ54" s="44" t="str">
        <x:v>2d4+16</x:v>
      </x:c>
    </x:row>
    <x:row r="55" ht="49" customHeight="1">
      <x:c r="A55" s="44" t="n">
        <x:v>44</x:v>
      </x:c>
      <x:c r="B55" s="44" t="str">
        <x:v>Hades</x:v>
      </x:c>
      <x:c r="C55" s="44" t="str">
        <x:v>1H-Schwert</x:v>
      </x:c>
      <x:c r="D55" s="44" t="str">
        <x:v>MM6</x:v>
      </x:c>
      <x:c r="E55" s="50" t="n">
        <x:f>ROUND(X55*Y55,0)</x:f>
        <x:v>467</x:v>
      </x:c>
      <x:c r="F55" s="51" t="n">
        <x:f>ROUND(($B$5+N55*$H$5+W55)/(1-(AH55/2+(AA55+AB55+AC55+AD55+AE55+AF55)/16+AG55/8)),0)</x:f>
        <x:v>3842</x:v>
      </x:c>
      <x:c r="G55" s="51" t="n">
        <x:f>F55-$B$8</x:f>
        <x:v>0</x:v>
      </x:c>
      <x:c r="H55" s="44" t="str">
        <x:v>Nein</x:v>
      </x:c>
      <x:c r="I55" s="44" t="str">
        <x:v>+60 Luck; −3 HP-Regen (Schaden über Zeit für Träger).</x:v>
      </x:c>
      <x:c r="J55" s="44" t="str">
        <x:v>Geskripteter Wasserschaden (+20 Basis je Treffer) und zusätzlicher Zaubereffekt.</x:v>
      </x:c>
      <x:c r="K55" s="44" t="str">
        <x:v>—</x:v>
      </x:c>
      <x:c r="L55" s="44" t="str">
        <x:v>Zauber und zusätzlicher Wasserschaden nicht enthalten.</x:v>
      </x:c>
      <x:c r="M55" s="44" t="str">
        <x:v>https://github.com/Malekitsu/Maw-Mod-MMMerge/blob/4.5/Scripts/Global/ExtraArtifacts.lua</x:v>
      </x:c>
      <x:c r="N55" s="54" t="n">
        <x:v>0</x:v>
      </x:c>
      <x:c r="O55" s="54" t="n">
        <x:v>0</x:v>
      </x:c>
      <x:c r="P55" s="54" t="n">
        <x:v>0</x:v>
      </x:c>
      <x:c r="Q55" s="54" t="n">
        <x:v>0</x:v>
      </x:c>
      <x:c r="R55" s="54" t="n">
        <x:v>0</x:v>
      </x:c>
      <x:c r="S55" s="54" t="n">
        <x:v>0</x:v>
      </x:c>
      <x:c r="T55" s="54" t="n">
        <x:v>0</x:v>
      </x:c>
      <x:c r="U55" s="54" t="n">
        <x:v>0</x:v>
      </x:c>
      <x:c r="V55" s="54" t="n">
        <x:v>0</x:v>
      </x:c>
      <x:c r="W55" s="54" t="n">
        <x:v>0</x:v>
      </x:c>
      <x:c r="X55" s="44" t="n">
        <x:v>467</x:v>
      </x:c>
      <x:c r="Y55" s="44" t="n">
        <x:v>1</x:v>
      </x:c>
      <x:c r="Z55" s="44" t="n">
        <x:v>-3</x:v>
      </x:c>
      <x:c r="AA55" s="56" t="n">
        <x:f>IF($F$5+P55&gt;=65000,1,1-1/(1+($F$5+P55)/(60+$J$5*0.5)))</x:f>
        <x:v>0.3125</x:v>
      </x:c>
      <x:c r="AB55" s="56" t="n">
        <x:f>IF($F$5+Q55&gt;=65000,1,1-1/(1+($F$5+Q55)/(60+$J$5*0.5)))</x:f>
        <x:v>0.3125</x:v>
      </x:c>
      <x:c r="AC55" s="56" t="n">
        <x:f>IF($F$5+R55&gt;=65000,1,1-1/(1+($F$5+R55)/(60+$J$5*0.5)))</x:f>
        <x:v>0.3125</x:v>
      </x:c>
      <x:c r="AD55" s="56" t="n">
        <x:f>IF($F$5+S55&gt;=65000,1,1-1/(1+($F$5+S55)/(60+$J$5*0.5)))</x:f>
        <x:v>0.3125</x:v>
      </x:c>
      <x:c r="AE55" s="56" t="n">
        <x:f>IF($F$5+T55&gt;=65000,1,1-1/(1+($F$5+T55)/(60+$J$5*0.5)))</x:f>
        <x:v>0.3125</x:v>
      </x:c>
      <x:c r="AF55" s="56" t="n">
        <x:f>IF($F$5+U55&gt;=65000,1,1-1/(1+($F$5+U55)/(60+$J$5*0.5)))</x:f>
        <x:v>0.3125</x:v>
      </x:c>
      <x:c r="AG55" s="56" t="n">
        <x:f>IF($F$5+V55&gt;=65000,1,1-1/(1+($F$5+V55)/(60+$J$5*0.5)))</x:f>
        <x:v>0.3125</x:v>
      </x:c>
      <x:c r="AH55" s="56" t="n">
        <x:f>1-((5+$J$5*2)/(10+$J$5*2+MAX(0,$D$5+O55)))*(1/(1+MAX(0,$D$5+O55)/(90+$J$5*0.25)))</x:f>
        <x:v>0.6462865716429107</x:v>
      </x:c>
      <x:c r="AI55" s="44" t="str">
        <x:v>Skript</x:v>
      </x:c>
      <x:c r="AJ55" s="44" t="str">
        <x:v>6d6+18</x:v>
      </x:c>
    </x:row>
    <x:row r="56" ht="49" customHeight="1">
      <x:c r="A56" s="44" t="n">
        <x:v>45</x:v>
      </x:c>
      <x:c r="B56" s="44" t="str">
        <x:v>Ethric's Staff</x:v>
      </x:c>
      <x:c r="C56" s="44" t="str">
        <x:v>Staff</x:v>
      </x:c>
      <x:c r="D56" s="44" t="str">
        <x:v>MM7</x:v>
      </x:c>
      <x:c r="E56" s="50" t="n">
        <x:f>ROUND(X56*Y56,0)</x:f>
        <x:v>153</x:v>
      </x:c>
      <x:c r="F56" s="51" t="n">
        <x:f>ROUND(($B$5+N56*$H$5+W56)/(1-(AH56/2+(AA56+AB56+AC56+AD56+AE56+AF56)/16+AG56/8)),0)</x:f>
        <x:v>3842</x:v>
      </x:c>
      <x:c r="G56" s="51" t="n">
        <x:f>F56-$B$8</x:f>
        <x:v>0</x:v>
      </x:c>
      <x:c r="H56" s="44" t="str">
        <x:v>Nein</x:v>
      </x:c>
      <x:c r="I56" s="44" t="str">
        <x:v>Verliert als Nicht-Lich fortlaufend HP (Skript); negativer Defensiveffekt.</x:v>
      </x:c>
      <x:c r="J56" s="44" t="str">
        <x:v>Dark-Magic- und Meditation-Bonus für Zauberwirker.</x:v>
      </x:c>
      <x:c r="K56" s="44" t="str">
        <x:v>—</x:v>
      </x:c>
      <x:c r="L56" s="44" t="str">
        <x:v>Magische Vorteile nicht als physische DPS gerechnet.</x:v>
      </x:c>
      <x:c r="M56" s="44" t="str">
        <x:v>https://github.com/Malekitsu/Maw-Mod-MMMerge/blob/4.5/Scripts/General/zzMaw-Items.lua</x:v>
      </x:c>
      <x:c r="N56" s="54" t="n">
        <x:v>0</x:v>
      </x:c>
      <x:c r="O56" s="54" t="n">
        <x:v>0</x:v>
      </x:c>
      <x:c r="P56" s="54" t="n">
        <x:v>0</x:v>
      </x:c>
      <x:c r="Q56" s="54" t="n">
        <x:v>0</x:v>
      </x:c>
      <x:c r="R56" s="54" t="n">
        <x:v>0</x:v>
      </x:c>
      <x:c r="S56" s="54" t="n">
        <x:v>0</x:v>
      </x:c>
      <x:c r="T56" s="54" t="n">
        <x:v>0</x:v>
      </x:c>
      <x:c r="U56" s="54" t="n">
        <x:v>0</x:v>
      </x:c>
      <x:c r="V56" s="54" t="n">
        <x:v>0</x:v>
      </x:c>
      <x:c r="W56" s="54" t="n">
        <x:v>0</x:v>
      </x:c>
      <x:c r="X56" s="44" t="n">
        <x:v>153</x:v>
      </x:c>
      <x:c r="Y56" s="44" t="n">
        <x:v>1</x:v>
      </x:c>
      <x:c r="Z56" s="44" t="n">
        <x:v>-3</x:v>
      </x:c>
      <x:c r="AA56" s="56" t="n">
        <x:f>IF($F$5+P56&gt;=65000,1,1-1/(1+($F$5+P56)/(60+$J$5*0.5)))</x:f>
        <x:v>0.3125</x:v>
      </x:c>
      <x:c r="AB56" s="56" t="n">
        <x:f>IF($F$5+Q56&gt;=65000,1,1-1/(1+($F$5+Q56)/(60+$J$5*0.5)))</x:f>
        <x:v>0.3125</x:v>
      </x:c>
      <x:c r="AC56" s="56" t="n">
        <x:f>IF($F$5+R56&gt;=65000,1,1-1/(1+($F$5+R56)/(60+$J$5*0.5)))</x:f>
        <x:v>0.3125</x:v>
      </x:c>
      <x:c r="AD56" s="56" t="n">
        <x:f>IF($F$5+S56&gt;=65000,1,1-1/(1+($F$5+S56)/(60+$J$5*0.5)))</x:f>
        <x:v>0.3125</x:v>
      </x:c>
      <x:c r="AE56" s="56" t="n">
        <x:f>IF($F$5+T56&gt;=65000,1,1-1/(1+($F$5+T56)/(60+$J$5*0.5)))</x:f>
        <x:v>0.3125</x:v>
      </x:c>
      <x:c r="AF56" s="56" t="n">
        <x:f>IF($F$5+U56&gt;=65000,1,1-1/(1+($F$5+U56)/(60+$J$5*0.5)))</x:f>
        <x:v>0.3125</x:v>
      </x:c>
      <x:c r="AG56" s="56" t="n">
        <x:f>IF($F$5+V56&gt;=65000,1,1-1/(1+($F$5+V56)/(60+$J$5*0.5)))</x:f>
        <x:v>0.3125</x:v>
      </x:c>
      <x:c r="AH56" s="56" t="n">
        <x:f>1-((5+$J$5*2)/(10+$J$5*2+MAX(0,$D$5+O56)))*(1/(1+MAX(0,$D$5+O56)/(90+$J$5*0.25)))</x:f>
        <x:v>0.6462865716429107</x:v>
      </x:c>
      <x:c r="AI56" s="44" t="str">
        <x:v>Skript</x:v>
      </x:c>
      <x:c r="AJ56" s="44" t="str">
        <x:v>2d4+11</x:v>
      </x:c>
    </x:row>
    <x:row r="57" ht="49" customHeight="1">
      <x:c r="A57" s="44" t="n">
        <x:v>46</x:v>
      </x:c>
      <x:c r="B57" s="44" t="str">
        <x:v>Snake</x:v>
      </x:c>
      <x:c r="C57" s="44" t="str">
        <x:v>1H-Schwert</x:v>
      </x:c>
      <x:c r="D57" s="44" t="str">
        <x:v>MM8</x:v>
      </x:c>
      <x:c r="E57" s="50" t="n">
        <x:f>ROUND(X57*Y57,0)</x:f>
        <x:v>442</x:v>
      </x:c>
      <x:c r="F57" s="51" t="n">
        <x:f>ROUND(($B$5+N57*$H$5+W57)/(1-(AH57/2+(AA57+AB57+AC57+AD57+AE57+AF57)/16+AG57/8)),0)</x:f>
        <x:v>3649</x:v>
      </x:c>
      <x:c r="G57" s="51" t="n">
        <x:f>F57-$B$8</x:f>
        <x:v>-193</x:v>
      </x:c>
      <x:c r="H57" s="44" t="str">
        <x:v>Nein</x:v>
      </x:c>
      <x:c r="I57" s="44" t="str">
        <x:v>+100 Speed, −50 Wasserresistenz, −15 Personality vor Skalierung.</x:v>
      </x:c>
      <x:c r="J57" s="44" t="str">
        <x:v>Verlangsamt das Ziel bei Treffer (Slow).</x:v>
      </x:c>
      <x:c r="K57" s="44" t="str">
        <x:v>—</x:v>
      </x:c>
      <x:c r="L57" s="44" t="str">
        <x:v>Verlangsamung nicht in DPS.</x:v>
      </x:c>
      <x:c r="M57" s="44" t="str">
        <x:v>https://github.com/Malekitsu/Maw-Mod-MMMerge/blob/4.5/Scripts/General/zzMaw-Items.lua</x:v>
      </x:c>
      <x:c r="N57" s="54" t="n">
        <x:v>0</x:v>
      </x:c>
      <x:c r="O57" s="54" t="n">
        <x:v>0</x:v>
      </x:c>
      <x:c r="P57" s="54" t="n">
        <x:v>0</x:v>
      </x:c>
      <x:c r="Q57" s="54" t="n">
        <x:v>0</x:v>
      </x:c>
      <x:c r="R57" s="54" t="n">
        <x:v>-62.5</x:v>
      </x:c>
      <x:c r="S57" s="54" t="n">
        <x:v>0</x:v>
      </x:c>
      <x:c r="T57" s="54" t="n">
        <x:v>0</x:v>
      </x:c>
      <x:c r="U57" s="54" t="n">
        <x:v>0</x:v>
      </x:c>
      <x:c r="V57" s="54" t="n">
        <x:v>0</x:v>
      </x:c>
      <x:c r="W57" s="54" t="n">
        <x:v>0</x:v>
      </x:c>
      <x:c r="X57" s="44" t="n">
        <x:v>442</x:v>
      </x:c>
      <x:c r="Y57" s="44" t="n">
        <x:v>1</x:v>
      </x:c>
      <x:c r="Z57" s="44" t="n">
        <x:v>0</x:v>
      </x:c>
      <x:c r="AA57" s="56" t="n">
        <x:f>IF($F$5+P57&gt;=65000,1,1-1/(1+($F$5+P57)/(60+$J$5*0.5)))</x:f>
        <x:v>0.3125</x:v>
      </x:c>
      <x:c r="AB57" s="56" t="n">
        <x:f>IF($F$5+Q57&gt;=65000,1,1-1/(1+($F$5+Q57)/(60+$J$5*0.5)))</x:f>
        <x:v>0.3125</x:v>
      </x:c>
      <x:c r="AC57" s="56" t="n">
        <x:f>IF($F$5+R57&gt;=65000,1,1-1/(1+($F$5+R57)/(60+$J$5*0.5)))</x:f>
        <x:v>-0.1282051282051282</x:v>
      </x:c>
      <x:c r="AD57" s="56" t="n">
        <x:f>IF($F$5+S57&gt;=65000,1,1-1/(1+($F$5+S57)/(60+$J$5*0.5)))</x:f>
        <x:v>0.3125</x:v>
      </x:c>
      <x:c r="AE57" s="56" t="n">
        <x:f>IF($F$5+T57&gt;=65000,1,1-1/(1+($F$5+T57)/(60+$J$5*0.5)))</x:f>
        <x:v>0.3125</x:v>
      </x:c>
      <x:c r="AF57" s="56" t="n">
        <x:f>IF($F$5+U57&gt;=65000,1,1-1/(1+($F$5+U57)/(60+$J$5*0.5)))</x:f>
        <x:v>0.3125</x:v>
      </x:c>
      <x:c r="AG57" s="56" t="n">
        <x:f>IF($F$5+V57&gt;=65000,1,1-1/(1+($F$5+V57)/(60+$J$5*0.5)))</x:f>
        <x:v>0.3125</x:v>
      </x:c>
      <x:c r="AH57" s="56" t="n">
        <x:f>1-((5+$J$5*2)/(10+$J$5*2+MAX(0,$D$5+O57)))*(1/(1+MAX(0,$D$5+O57)/(90+$J$5*0.25)))</x:f>
        <x:v>0.6462865716429107</x:v>
      </x:c>
      <x:c r="AI57" s="44" t="str">
        <x:v>Text + MAW-Stats</x:v>
      </x:c>
      <x:c r="AJ57" s="44" t="str">
        <x:v>8d4+15</x:v>
      </x:c>
    </x:row>
    <x:row r="58" ht="49" customHeight="1">
      <x:c r="A58" s="44" t="n">
        <x:v>47</x:v>
      </x:c>
      <x:c r="B58" s="44" t="str">
        <x:v>Artemis</x:v>
      </x:c>
      <x:c r="C58" s="44" t="str">
        <x:v>Bogen</x:v>
      </x:c>
      <x:c r="D58" s="44" t="str">
        <x:v>MM6</x:v>
      </x:c>
      <x:c r="E58" s="50" t="n">
        <x:f>ROUND(X58*Y58,0)</x:f>
        <x:v>601</x:v>
      </x:c>
      <x:c r="F58" s="51" t="n">
        <x:f>ROUND(($B$5+N58*$H$5+W58)/(1-(AH58/2+(AA58+AB58+AC58+AD58+AE58+AF58)/16+AG58/8)),0)</x:f>
        <x:v>3620</x:v>
      </x:c>
      <x:c r="G58" s="51" t="n">
        <x:f>F58-$B$8</x:f>
        <x:v>-222</x:v>
      </x:c>
      <x:c r="H58" s="44" t="str">
        <x:v>Nein</x:v>
      </x:c>
      <x:c r="I58" s="44" t="str">
        <x:v>−20 auf vier Elementarresistenzen vor Skalierung; schlechtere Abwehr.</x:v>
      </x:c>
      <x:c r="J58" s="44" t="str">
        <x:v>Geskripteter Luft-/Elektrizitätsschaden (+20 Basis).</x:v>
      </x:c>
      <x:c r="K58" s="44" t="str">
        <x:v>—</x:v>
      </x:c>
      <x:c r="L58" s="44" t="str">
        <x:v>Luftschaden nicht in DPS.</x:v>
      </x:c>
      <x:c r="M58" s="44" t="str">
        <x:v>https://github.com/Malekitsu/Maw-Mod-MMMerge/blob/4.5/Scripts/Global/ExtraArtifacts.lua</x:v>
      </x:c>
      <x:c r="N58" s="54" t="n">
        <x:v>0</x:v>
      </x:c>
      <x:c r="O58" s="54" t="n">
        <x:v>0</x:v>
      </x:c>
      <x:c r="P58" s="54" t="n">
        <x:v>-25</x:v>
      </x:c>
      <x:c r="Q58" s="54" t="n">
        <x:v>-25</x:v>
      </x:c>
      <x:c r="R58" s="54" t="n">
        <x:v>-25</x:v>
      </x:c>
      <x:c r="S58" s="54" t="n">
        <x:v>-25</x:v>
      </x:c>
      <x:c r="T58" s="54" t="n">
        <x:v>0</x:v>
      </x:c>
      <x:c r="U58" s="54" t="n">
        <x:v>0</x:v>
      </x:c>
      <x:c r="V58" s="54" t="n">
        <x:v>0</x:v>
      </x:c>
      <x:c r="W58" s="54" t="n">
        <x:v>0</x:v>
      </x:c>
      <x:c r="X58" s="44" t="n">
        <x:v>601</x:v>
      </x:c>
      <x:c r="Y58" s="44" t="n">
        <x:v>1</x:v>
      </x:c>
      <x:c r="Z58" s="44" t="n">
        <x:v>0</x:v>
      </x:c>
      <x:c r="AA58" s="56" t="n">
        <x:f>IF($F$5+P58&gt;=65000,1,1-1/(1+($F$5+P58)/(60+$J$5*0.5)))</x:f>
        <x:v>0.18518518518518523</x:v>
      </x:c>
      <x:c r="AB58" s="56" t="n">
        <x:f>IF($F$5+Q58&gt;=65000,1,1-1/(1+($F$5+Q58)/(60+$J$5*0.5)))</x:f>
        <x:v>0.18518518518518523</x:v>
      </x:c>
      <x:c r="AC58" s="56" t="n">
        <x:f>IF($F$5+R58&gt;=65000,1,1-1/(1+($F$5+R58)/(60+$J$5*0.5)))</x:f>
        <x:v>0.18518518518518523</x:v>
      </x:c>
      <x:c r="AD58" s="56" t="n">
        <x:f>IF($F$5+S58&gt;=65000,1,1-1/(1+($F$5+S58)/(60+$J$5*0.5)))</x:f>
        <x:v>0.18518518518518523</x:v>
      </x:c>
      <x:c r="AE58" s="56" t="n">
        <x:f>IF($F$5+T58&gt;=65000,1,1-1/(1+($F$5+T58)/(60+$J$5*0.5)))</x:f>
        <x:v>0.3125</x:v>
      </x:c>
      <x:c r="AF58" s="56" t="n">
        <x:f>IF($F$5+U58&gt;=65000,1,1-1/(1+($F$5+U58)/(60+$J$5*0.5)))</x:f>
        <x:v>0.3125</x:v>
      </x:c>
      <x:c r="AG58" s="56" t="n">
        <x:f>IF($F$5+V58&gt;=65000,1,1-1/(1+($F$5+V58)/(60+$J$5*0.5)))</x:f>
        <x:v>0.3125</x:v>
      </x:c>
      <x:c r="AH58" s="56" t="n">
        <x:f>1-((5+$J$5*2)/(10+$J$5*2+MAX(0,$D$5+O58)))*(1/(1+MAX(0,$D$5+O58)/(90+$J$5*0.25)))</x:f>
        <x:v>0.6462865716429107</x:v>
      </x:c>
      <x:c r="AI58" s="44" t="str">
        <x:v>Skript + MAW-Stats</x:v>
      </x:c>
      <x:c r="AJ58" s="44" t="str">
        <x:v>12d3+15</x:v>
      </x:c>
    </x:row>
    <x:row r="59" ht="49" customHeight="1">
      <x:c r="A59" s="44" t="n">
        <x:v>48</x:v>
      </x:c>
      <x:c r="B59" s="44" t="str">
        <x:v>Havoc</x:v>
      </x:c>
      <x:c r="C59" s="44" t="str">
        <x:v>1H-Schwert</x:v>
      </x:c>
      <x:c r="D59" s="44" t="str">
        <x:v>MM8</x:v>
      </x:c>
      <x:c r="E59" s="50" t="n">
        <x:f>ROUND(X59*Y59,0)</x:f>
        <x:v>463</x:v>
      </x:c>
      <x:c r="F59" s="51" t="n">
        <x:f>ROUND(($B$5+N59*$H$5+W59)/(1-(AH59/2+(AA59+AB59+AC59+AD59+AE59+AF59)/16+AG59/8)),0)</x:f>
        <x:v>3562</x:v>
      </x:c>
      <x:c r="G59" s="51" t="n">
        <x:f>F59-$B$8</x:f>
        <x:v>-280</x:v>
      </x:c>
      <x:c r="H59" s="44" t="str">
        <x:v>Nein</x:v>
      </x:c>
      <x:c r="I59" s="44" t="str">
        <x:v>+70 Speed, +70 Accuracy, −20 AC vor Levelskalierung.</x:v>
      </x:c>
      <x:c r="J59" s="44" t="str">
        <x:v>Sehr hohe Speed-/Accuracy-Werte; kein eigener Trefferproc.</x:v>
      </x:c>
      <x:c r="K59" s="44" t="str">
        <x:v>—</x:v>
      </x:c>
      <x:c r="L59" s="44" t="str">
        <x:v>Kein Zusatzproc.</x:v>
      </x:c>
      <x:c r="M59" s="44" t="str">
        <x:v>https://github.com/Malekitsu/Maw-Mod-MMMerge/blob/4.5/Scripts/General/zzMaw-Items.lua</x:v>
      </x:c>
      <x:c r="N59" s="54" t="n">
        <x:v>0</x:v>
      </x:c>
      <x:c r="O59" s="54" t="n">
        <x:v>-25</x:v>
      </x:c>
      <x:c r="P59" s="54" t="n">
        <x:v>0</x:v>
      </x:c>
      <x:c r="Q59" s="54" t="n">
        <x:v>0</x:v>
      </x:c>
      <x:c r="R59" s="54" t="n">
        <x:v>0</x:v>
      </x:c>
      <x:c r="S59" s="54" t="n">
        <x:v>0</x:v>
      </x:c>
      <x:c r="T59" s="54" t="n">
        <x:v>0</x:v>
      </x:c>
      <x:c r="U59" s="54" t="n">
        <x:v>0</x:v>
      </x:c>
      <x:c r="V59" s="54" t="n">
        <x:v>0</x:v>
      </x:c>
      <x:c r="W59" s="54" t="n">
        <x:v>0</x:v>
      </x:c>
      <x:c r="X59" s="44" t="n">
        <x:v>463</x:v>
      </x:c>
      <x:c r="Y59" s="44" t="n">
        <x:v>1</x:v>
      </x:c>
      <x:c r="Z59" s="44" t="n">
        <x:v>0</x:v>
      </x:c>
      <x:c r="AA59" s="56" t="n">
        <x:f>IF($F$5+P59&gt;=65000,1,1-1/(1+($F$5+P59)/(60+$J$5*0.5)))</x:f>
        <x:v>0.3125</x:v>
      </x:c>
      <x:c r="AB59" s="56" t="n">
        <x:f>IF($F$5+Q59&gt;=65000,1,1-1/(1+($F$5+Q59)/(60+$J$5*0.5)))</x:f>
        <x:v>0.3125</x:v>
      </x:c>
      <x:c r="AC59" s="56" t="n">
        <x:f>IF($F$5+R59&gt;=65000,1,1-1/(1+($F$5+R59)/(60+$J$5*0.5)))</x:f>
        <x:v>0.3125</x:v>
      </x:c>
      <x:c r="AD59" s="56" t="n">
        <x:f>IF($F$5+S59&gt;=65000,1,1-1/(1+($F$5+S59)/(60+$J$5*0.5)))</x:f>
        <x:v>0.3125</x:v>
      </x:c>
      <x:c r="AE59" s="56" t="n">
        <x:f>IF($F$5+T59&gt;=65000,1,1-1/(1+($F$5+T59)/(60+$J$5*0.5)))</x:f>
        <x:v>0.3125</x:v>
      </x:c>
      <x:c r="AF59" s="56" t="n">
        <x:f>IF($F$5+U59&gt;=65000,1,1-1/(1+($F$5+U59)/(60+$J$5*0.5)))</x:f>
        <x:v>0.3125</x:v>
      </x:c>
      <x:c r="AG59" s="56" t="n">
        <x:f>IF($F$5+V59&gt;=65000,1,1-1/(1+($F$5+V59)/(60+$J$5*0.5)))</x:f>
        <x:v>0.3125</x:v>
      </x:c>
      <x:c r="AH59" s="56" t="n">
        <x:f>1-((5+$J$5*2)/(10+$J$5*2+MAX(0,$D$5+O59)))*(1/(1+MAX(0,$D$5+O59)/(90+$J$5*0.25)))</x:f>
        <x:v>0.5646352723915051</x:v>
      </x:c>
      <x:c r="AI59" s="44" t="str">
        <x:v>MAW-Stats</x:v>
      </x:c>
      <x:c r="AJ59" s="44" t="str">
        <x:v>10d3+18</x:v>
      </x:c>
    </x:row>
    <x:row r="60" ht="49" customHeight="1">
      <x:c r="A60" s="44" t="n">
        <x:v>49</x:v>
      </x:c>
      <x:c r="B60" s="44" t="str">
        <x:v>Tournament Bow</x:v>
      </x:c>
      <x:c r="C60" s="44" t="str">
        <x:v>Bogen</x:v>
      </x:c>
      <x:c r="D60" s="44" t="str">
        <x:v>MM8</x:v>
      </x:c>
      <x:c r="E60" s="50" t="n">
        <x:f>ROUND(X60*Y60,0)</x:f>
        <x:v>382</x:v>
      </x:c>
      <x:c r="F60" s="51" t="n">
        <x:f>ROUND(($B$5+N60*$H$5+W60)/(1-(AH60/2+(AA60+AB60+AC60+AD60+AE60+AF60)/16+AG60/8)),0)</x:f>
        <x:v>3562</x:v>
      </x:c>
      <x:c r="G60" s="51" t="n">
        <x:f>F60-$B$8</x:f>
        <x:v>-280</x:v>
      </x:c>
      <x:c r="H60" s="44" t="str">
        <x:v>Nein</x:v>
      </x:c>
      <x:c r="I60" s="44" t="str">
        <x:v>+100 Accuracy, −20 AC laut Itemtext; AC-Code nicht separat eingetragen.</x:v>
      </x:c>
      <x:c r="J60" s="44" t="str">
        <x:v>Bow-Skillbonus (+4 MAW-Code) und hohe Accuracy; kein zusätzlicher Trefferproc.</x:v>
      </x:c>
      <x:c r="K60" s="44" t="str">
        <x:v>—</x:v>
      </x:c>
      <x:c r="L60" s="44" t="str">
        <x:v>Skillbonus in Modell-DPS.</x:v>
      </x:c>
      <x:c r="M60" s="44" t="str">
        <x:v>https://github.com/Malekitsu/Maw-Mod-MMMerge/blob/4.5/Scripts/General/zzMaw-Items.lua</x:v>
      </x:c>
      <x:c r="N60" s="54" t="n">
        <x:v>0</x:v>
      </x:c>
      <x:c r="O60" s="54" t="n">
        <x:v>-25</x:v>
      </x:c>
      <x:c r="P60" s="54" t="n">
        <x:v>0</x:v>
      </x:c>
      <x:c r="Q60" s="54" t="n">
        <x:v>0</x:v>
      </x:c>
      <x:c r="R60" s="54" t="n">
        <x:v>0</x:v>
      </x:c>
      <x:c r="S60" s="54" t="n">
        <x:v>0</x:v>
      </x:c>
      <x:c r="T60" s="54" t="n">
        <x:v>0</x:v>
      </x:c>
      <x:c r="U60" s="54" t="n">
        <x:v>0</x:v>
      </x:c>
      <x:c r="V60" s="54" t="n">
        <x:v>0</x:v>
      </x:c>
      <x:c r="W60" s="54" t="n">
        <x:v>0</x:v>
      </x:c>
      <x:c r="X60" s="44" t="n">
        <x:v>382</x:v>
      </x:c>
      <x:c r="Y60" s="44" t="n">
        <x:v>1</x:v>
      </x:c>
      <x:c r="Z60" s="44" t="n">
        <x:v>0</x:v>
      </x:c>
      <x:c r="AA60" s="56" t="n">
        <x:f>IF($F$5+P60&gt;=65000,1,1-1/(1+($F$5+P60)/(60+$J$5*0.5)))</x:f>
        <x:v>0.3125</x:v>
      </x:c>
      <x:c r="AB60" s="56" t="n">
        <x:f>IF($F$5+Q60&gt;=65000,1,1-1/(1+($F$5+Q60)/(60+$J$5*0.5)))</x:f>
        <x:v>0.3125</x:v>
      </x:c>
      <x:c r="AC60" s="56" t="n">
        <x:f>IF($F$5+R60&gt;=65000,1,1-1/(1+($F$5+R60)/(60+$J$5*0.5)))</x:f>
        <x:v>0.3125</x:v>
      </x:c>
      <x:c r="AD60" s="56" t="n">
        <x:f>IF($F$5+S60&gt;=65000,1,1-1/(1+($F$5+S60)/(60+$J$5*0.5)))</x:f>
        <x:v>0.3125</x:v>
      </x:c>
      <x:c r="AE60" s="56" t="n">
        <x:f>IF($F$5+T60&gt;=65000,1,1-1/(1+($F$5+T60)/(60+$J$5*0.5)))</x:f>
        <x:v>0.3125</x:v>
      </x:c>
      <x:c r="AF60" s="56" t="n">
        <x:f>IF($F$5+U60&gt;=65000,1,1-1/(1+($F$5+U60)/(60+$J$5*0.5)))</x:f>
        <x:v>0.3125</x:v>
      </x:c>
      <x:c r="AG60" s="56" t="n">
        <x:f>IF($F$5+V60&gt;=65000,1,1-1/(1+($F$5+V60)/(60+$J$5*0.5)))</x:f>
        <x:v>0.3125</x:v>
      </x:c>
      <x:c r="AH60" s="56" t="n">
        <x:f>1-((5+$J$5*2)/(10+$J$5*2+MAX(0,$D$5+O60)))*(1/(1+MAX(0,$D$5+O60)/(90+$J$5*0.25)))</x:f>
        <x:v>0.5646352723915051</x:v>
      </x:c>
      <x:c r="AI60" s="44" t="str">
        <x:v>Skript + Text</x:v>
      </x:c>
      <x:c r="AJ60" s="44" t="str">
        <x:v>12d3+14</x:v>
      </x:c>
    </x:row>
    <x:row r="61" ht="49" customHeight="1">
      <x:c r="A61" s="44" t="n">
        <x:v>50</x:v>
      </x:c>
      <x:c r="B61" s="44" t="str">
        <x:v>Staff of Elements</x:v>
      </x:c>
      <x:c r="C61" s="44" t="str">
        <x:v>Staff</x:v>
      </x:c>
      <x:c r="D61" s="44" t="str">
        <x:v>MM8</x:v>
      </x:c>
      <x:c r="E61" s="50" t="n">
        <x:f>ROUND(X61*Y61,0)</x:f>
        <x:v>188</x:v>
      </x:c>
      <x:c r="F61" s="51" t="n">
        <x:f>ROUND(($B$5+N61*$H$5+W61)/(1-(AH61/2+(AA61+AB61+AC61+AD61+AE61+AF61)/16+AG61/8)),0)</x:f>
        <x:v>3234</x:v>
      </x:c>
      <x:c r="G61" s="51" t="n">
        <x:f>F61-$B$8</x:f>
        <x:v>-608</x:v>
      </x:c>
      <x:c r="H61" s="44" t="str">
        <x:v>Nein</x:v>
      </x:c>
      <x:c r="I61" s="44" t="str">
        <x:v>−40 AC vor Levelskalierung, macht anfälliger.</x:v>
      </x:c>
      <x:c r="J61" s="44" t="str">
        <x:v>Verstärkt vier Elementarmagieschulen; für Zauberschaden wertvoll, nicht für Stab-DPS.</x:v>
      </x:c>
      <x:c r="K61" s="44" t="str">
        <x:v>—</x:v>
      </x:c>
      <x:c r="L61" s="44" t="str">
        <x:v>Zauberboni nicht in physischen DPS.</x:v>
      </x:c>
      <x:c r="M61" s="44" t="str">
        <x:v>https://github.com/Malekitsu/Maw-Mod-MMMerge/blob/4.5/Scripts/General/zzMaw-Items.lua</x:v>
      </x:c>
      <x:c r="N61" s="54" t="n">
        <x:v>0</x:v>
      </x:c>
      <x:c r="O61" s="54" t="n">
        <x:v>-50</x:v>
      </x:c>
      <x:c r="P61" s="54" t="n">
        <x:v>0</x:v>
      </x:c>
      <x:c r="Q61" s="54" t="n">
        <x:v>0</x:v>
      </x:c>
      <x:c r="R61" s="54" t="n">
        <x:v>0</x:v>
      </x:c>
      <x:c r="S61" s="54" t="n">
        <x:v>0</x:v>
      </x:c>
      <x:c r="T61" s="54" t="n">
        <x:v>0</x:v>
      </x:c>
      <x:c r="U61" s="54" t="n">
        <x:v>0</x:v>
      </x:c>
      <x:c r="V61" s="54" t="n">
        <x:v>0</x:v>
      </x:c>
      <x:c r="W61" s="54" t="n">
        <x:v>0</x:v>
      </x:c>
      <x:c r="X61" s="44" t="n">
        <x:v>188</x:v>
      </x:c>
      <x:c r="Y61" s="44" t="n">
        <x:v>1</x:v>
      </x:c>
      <x:c r="Z61" s="44" t="n">
        <x:v>0</x:v>
      </x:c>
      <x:c r="AA61" s="56" t="n">
        <x:f>IF($F$5+P61&gt;=65000,1,1-1/(1+($F$5+P61)/(60+$J$5*0.5)))</x:f>
        <x:v>0.3125</x:v>
      </x:c>
      <x:c r="AB61" s="56" t="n">
        <x:f>IF($F$5+Q61&gt;=65000,1,1-1/(1+($F$5+Q61)/(60+$J$5*0.5)))</x:f>
        <x:v>0.3125</x:v>
      </x:c>
      <x:c r="AC61" s="56" t="n">
        <x:f>IF($F$5+R61&gt;=65000,1,1-1/(1+($F$5+R61)/(60+$J$5*0.5)))</x:f>
        <x:v>0.3125</x:v>
      </x:c>
      <x:c r="AD61" s="56" t="n">
        <x:f>IF($F$5+S61&gt;=65000,1,1-1/(1+($F$5+S61)/(60+$J$5*0.5)))</x:f>
        <x:v>0.3125</x:v>
      </x:c>
      <x:c r="AE61" s="56" t="n">
        <x:f>IF($F$5+T61&gt;=65000,1,1-1/(1+($F$5+T61)/(60+$J$5*0.5)))</x:f>
        <x:v>0.3125</x:v>
      </x:c>
      <x:c r="AF61" s="56" t="n">
        <x:f>IF($F$5+U61&gt;=65000,1,1-1/(1+($F$5+U61)/(60+$J$5*0.5)))</x:f>
        <x:v>0.3125</x:v>
      </x:c>
      <x:c r="AG61" s="56" t="n">
        <x:f>IF($F$5+V61&gt;=65000,1,1-1/(1+($F$5+V61)/(60+$J$5*0.5)))</x:f>
        <x:v>0.3125</x:v>
      </x:c>
      <x:c r="AH61" s="56" t="n">
        <x:f>1-((5+$J$5*2)/(10+$J$5*2+MAX(0,$D$5+O61)))*(1/(1+MAX(0,$D$5+O61)/(90+$J$5*0.25)))</x:f>
        <x:v>0.45046620046620045</x:v>
      </x:c>
      <x:c r="AI61" s="44" t="str">
        <x:v>MAW-Stats</x:v>
      </x:c>
      <x:c r="AJ61" s="44" t="str">
        <x:v>2d4+4</x:v>
      </x:c>
    </x:row>
    <x:row r="62" ht="49" customHeight="1">
      <x:c r="A62" s="44" t="n">
        <x:v>51</x:v>
      </x:c>
      <x:c r="B62" s="44" t="str">
        <x:v>Mekorig's Hammer</x:v>
      </x:c>
      <x:c r="C62" s="44" t="str">
        <x:v>Mace</x:v>
      </x:c>
      <x:c r="D62" s="44" t="str">
        <x:v>MM7</x:v>
      </x:c>
      <x:c r="E62" s="50" t="n">
        <x:f>ROUND(X62*Y62,0)</x:f>
        <x:v>250</x:v>
      </x:c>
      <x:c r="F62" s="51" t="n">
        <x:f>ROUND(($B$5+N62*$H$5+W62)/(1-(AH62/2+(AA62+AB62+AC62+AD62+AE62+AF62)/16+AG62/8)),0)</x:f>
        <x:v>2967</x:v>
      </x:c>
      <x:c r="G62" s="51" t="n">
        <x:f>F62-$B$8</x:f>
        <x:v>-875</x:v>
      </x:c>
      <x:c r="H62" s="44" t="str">
        <x:v>Nein</x:v>
      </x:c>
      <x:c r="I62" s="44" t="str">
        <x:v>+75 Might, −100 Luftresistenz vor Levelskalierung.</x:v>
      </x:c>
      <x:c r="J62" s="44" t="str">
        <x:v>Spirit-Magic-Bonus; primär Hybrid-Zauberwaffe.</x:v>
      </x:c>
      <x:c r="K62" s="44" t="str">
        <x:v>—</x:v>
      </x:c>
      <x:c r="L62" s="44" t="str">
        <x:v>Magiebonus nicht als Angriffsschaden eingerechnet.</x:v>
      </x:c>
      <x:c r="M62" s="44" t="str">
        <x:v>https://github.com/Malekitsu/Maw-Mod-MMMerge/blob/4.5/Scripts/General/zzMaw-Items.lua</x:v>
      </x:c>
      <x:c r="N62" s="54" t="n">
        <x:v>0</x:v>
      </x:c>
      <x:c r="O62" s="54" t="n">
        <x:v>0</x:v>
      </x:c>
      <x:c r="P62" s="54" t="n">
        <x:v>0</x:v>
      </x:c>
      <x:c r="Q62" s="54" t="n">
        <x:v>-125</x:v>
      </x:c>
      <x:c r="R62" s="54" t="n">
        <x:v>0</x:v>
      </x:c>
      <x:c r="S62" s="54" t="n">
        <x:v>0</x:v>
      </x:c>
      <x:c r="T62" s="54" t="n">
        <x:v>0</x:v>
      </x:c>
      <x:c r="U62" s="54" t="n">
        <x:v>0</x:v>
      </x:c>
      <x:c r="V62" s="54" t="n">
        <x:v>0</x:v>
      </x:c>
      <x:c r="W62" s="54" t="n">
        <x:v>0</x:v>
      </x:c>
      <x:c r="X62" s="44" t="n">
        <x:v>250</x:v>
      </x:c>
      <x:c r="Y62" s="44" t="n">
        <x:v>1</x:v>
      </x:c>
      <x:c r="Z62" s="44" t="n">
        <x:v>0</x:v>
      </x:c>
      <x:c r="AA62" s="56" t="n">
        <x:f>IF($F$5+P62&gt;=65000,1,1-1/(1+($F$5+P62)/(60+$J$5*0.5)))</x:f>
        <x:v>0.3125</x:v>
      </x:c>
      <x:c r="AB62" s="56" t="n">
        <x:f>IF($F$5+Q62&gt;=65000,1,1-1/(1+($F$5+Q62)/(60+$J$5*0.5)))</x:f>
        <x:v>-2.1428571428571423</x:v>
      </x:c>
      <x:c r="AC62" s="56" t="n">
        <x:f>IF($F$5+R62&gt;=65000,1,1-1/(1+($F$5+R62)/(60+$J$5*0.5)))</x:f>
        <x:v>0.3125</x:v>
      </x:c>
      <x:c r="AD62" s="56" t="n">
        <x:f>IF($F$5+S62&gt;=65000,1,1-1/(1+($F$5+S62)/(60+$J$5*0.5)))</x:f>
        <x:v>0.3125</x:v>
      </x:c>
      <x:c r="AE62" s="56" t="n">
        <x:f>IF($F$5+T62&gt;=65000,1,1-1/(1+($F$5+T62)/(60+$J$5*0.5)))</x:f>
        <x:v>0.3125</x:v>
      </x:c>
      <x:c r="AF62" s="56" t="n">
        <x:f>IF($F$5+U62&gt;=65000,1,1-1/(1+($F$5+U62)/(60+$J$5*0.5)))</x:f>
        <x:v>0.3125</x:v>
      </x:c>
      <x:c r="AG62" s="56" t="n">
        <x:f>IF($F$5+V62&gt;=65000,1,1-1/(1+($F$5+V62)/(60+$J$5*0.5)))</x:f>
        <x:v>0.3125</x:v>
      </x:c>
      <x:c r="AH62" s="56" t="n">
        <x:f>1-((5+$J$5*2)/(10+$J$5*2+MAX(0,$D$5+O62)))*(1/(1+MAX(0,$D$5+O62)/(90+$J$5*0.25)))</x:f>
        <x:v>0.6462865716429107</x:v>
      </x:c>
      <x:c r="AI62" s="44" t="str">
        <x:v>MAW-Stats</x:v>
      </x:c>
      <x:c r="AJ62" s="44" t="str">
        <x:v>2d5+15</x:v>
      </x:c>
    </x:row>
  </x:sheetData>
  <x:mergeCells>
    <x:mergeCell ref="A1:M1"/>
    <x:mergeCell ref="A2:M2"/>
    <x:mergeCell ref="A3:M3"/>
    <x:mergeCell ref="A7:M7"/>
    <x:mergeCell ref="C8:M8"/>
    <x:mergeCell ref="A9:M9"/>
  </x:mergeCells>
  <x:conditionalFormatting sqref="E12:E62">
    <x:cfRule type="dataBar" priority="1">
      <x:dataBar>
        <x:cfvo type="min"/>
        <x:cfvo type="max"/>
        <x:color rgb="FF7AB6DE"/>
      </x:dataBar>
      <x:extLst>
        <x:ext xmlns:x14="http://schemas.microsoft.com/office/spreadsheetml/2009/9/main" uri="{B025F937-C7B1-47D3-B67F-A62EFF666E3E}">
          <x14:id>{1914410B-4485-9C1E-FC2E-E26C9E1C92D3}</x14:id>
        </x:ext>
      </x:extLst>
    </x:cfRule>
  </x:conditionalFormatting>
  <x:conditionalFormatting sqref="G12:G62">
    <x:cfRule type="colorScale" priority="2">
      <x:colorScale>
        <x:cfvo type="min"/>
        <x:cfvo type="percentile" val="50"/>
        <x:cfvo type="max"/>
        <x:color rgb="FFFAD9D5"/>
        <x:color rgb="FFF7F9FC"/>
        <x:color rgb="FFBCE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0100de0bbb4d0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14410B-4485-9C1E-FC2E-E26C9E1C92D3}">
            <x14:dataBar gradient="1">
              <x14:cfvo type="min"/>
              <x14:cfvo type="max"/>
              <x14:fillColor rgb="FF7AB6DE"/>
            </x14:dataBar>
          </x14:cfRule>
          <xm:sqref>E12:E62</xm:sqref>
        </x14:conditionalFormatting>
      </x14:conditionalFormattings>
    </x:ext>
  </x:extLst>
</x:worksheet>
</file>